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filterPrivacy="1" defaultThemeVersion="166925"/>
  <xr:revisionPtr revIDLastSave="0" documentId="13_ncr:1_{6B0F4582-3C76-48D3-BC27-5202055D4D55}" xr6:coauthVersionLast="47" xr6:coauthVersionMax="47" xr10:uidLastSave="{00000000-0000-0000-0000-000000000000}"/>
  <bookViews>
    <workbookView xWindow="-120" yWindow="-120" windowWidth="29040" windowHeight="15720" activeTab="4" xr2:uid="{00000000-000D-0000-FFFF-FFFF00000000}"/>
  </bookViews>
  <sheets>
    <sheet name="MASTER_TC" sheetId="1" r:id="rId1"/>
    <sheet name="BUG_LIST_DZAKWAN" sheetId="5" r:id="rId2"/>
    <sheet name="BUG_REPORTS" sheetId="2" r:id="rId3"/>
    <sheet name="EXECUTION_LOG" sheetId="3" r:id="rId4"/>
    <sheet name="DASHBOARD" sheetId="4" r:id="rId5"/>
  </sheets>
  <calcPr calcId="191029"/>
</workbook>
</file>

<file path=xl/calcChain.xml><?xml version="1.0" encoding="utf-8"?>
<calcChain xmlns="http://schemas.openxmlformats.org/spreadsheetml/2006/main">
  <c r="N118" i="1" l="1"/>
  <c r="N117" i="1"/>
  <c r="N116" i="1"/>
  <c r="N115" i="1"/>
  <c r="N114" i="1"/>
  <c r="N113" i="1"/>
  <c r="N112" i="1"/>
  <c r="E14" i="4"/>
  <c r="D14" i="4"/>
  <c r="C14" i="4"/>
  <c r="B14" i="4"/>
  <c r="E13" i="4"/>
  <c r="D13" i="4"/>
  <c r="C13" i="4"/>
  <c r="B13" i="4"/>
  <c r="F13" i="4" s="1"/>
  <c r="E12" i="4"/>
  <c r="D12" i="4"/>
  <c r="C12" i="4"/>
  <c r="B12" i="4"/>
  <c r="F12" i="4" s="1"/>
  <c r="E11" i="4"/>
  <c r="D11" i="4"/>
  <c r="C11" i="4"/>
  <c r="B11" i="4"/>
  <c r="F11" i="4" s="1"/>
  <c r="E10" i="4"/>
  <c r="D10" i="4"/>
  <c r="C10" i="4"/>
  <c r="B10" i="4"/>
  <c r="F10" i="4" s="1"/>
  <c r="E9" i="4"/>
  <c r="D9" i="4"/>
  <c r="C9" i="4"/>
  <c r="B9" i="4"/>
  <c r="E8" i="4"/>
  <c r="D8" i="4"/>
  <c r="C8" i="4"/>
  <c r="B8" i="4"/>
  <c r="E7" i="4"/>
  <c r="D7" i="4"/>
  <c r="C7" i="4"/>
  <c r="B7" i="4"/>
  <c r="F7" i="4" s="1"/>
  <c r="E6" i="4"/>
  <c r="D6" i="4"/>
  <c r="C6" i="4"/>
  <c r="B6" i="4"/>
  <c r="F6" i="4" s="1"/>
  <c r="E5" i="4"/>
  <c r="D5" i="4"/>
  <c r="C5" i="4"/>
  <c r="B5" i="4"/>
  <c r="F5" i="4" s="1"/>
  <c r="E4" i="4"/>
  <c r="D4" i="4"/>
  <c r="C4" i="4"/>
  <c r="B4" i="4"/>
  <c r="F4" i="4" s="1"/>
  <c r="E3" i="4"/>
  <c r="D3" i="4"/>
  <c r="C3" i="4"/>
  <c r="B3" i="4"/>
  <c r="F3" i="4" s="1"/>
  <c r="E2" i="4"/>
  <c r="D2" i="4"/>
  <c r="C2" i="4"/>
  <c r="B2" i="4"/>
  <c r="F9" i="4" l="1"/>
  <c r="F8" i="4"/>
  <c r="F2" i="4"/>
  <c r="C15" i="4"/>
  <c r="D15" i="4"/>
  <c r="E15" i="4"/>
  <c r="F14" i="4"/>
  <c r="B15" i="4"/>
  <c r="F15" i="4" s="1"/>
</calcChain>
</file>

<file path=xl/sharedStrings.xml><?xml version="1.0" encoding="utf-8"?>
<sst xmlns="http://schemas.openxmlformats.org/spreadsheetml/2006/main" count="2186" uniqueCount="1119">
  <si>
    <t>TC ID</t>
  </si>
  <si>
    <t>Hari</t>
  </si>
  <si>
    <t>Modul</t>
  </si>
  <si>
    <t>Fitur</t>
  </si>
  <si>
    <t>Jenis Uji</t>
  </si>
  <si>
    <t>Prioritas</t>
  </si>
  <si>
    <t>Prasyarat</t>
  </si>
  <si>
    <t>Langkah Uji</t>
  </si>
  <si>
    <t>Expected Result</t>
  </si>
  <si>
    <t>Actual Result</t>
  </si>
  <si>
    <t>Status</t>
  </si>
  <si>
    <t>Severity</t>
  </si>
  <si>
    <t>Bug ID</t>
  </si>
  <si>
    <t>Bukti</t>
  </si>
  <si>
    <t>Penguji</t>
  </si>
  <si>
    <t>Tanggal Uji</t>
  </si>
  <si>
    <t>Commit/Build</t>
  </si>
  <si>
    <t>Catatan</t>
  </si>
  <si>
    <t>TC-API-001</t>
  </si>
  <si>
    <t>API</t>
  </si>
  <si>
    <t>GET List Assets</t>
  </si>
  <si>
    <t>Normal</t>
  </si>
  <si>
    <t>P1</t>
  </si>
  <si>
    <t>Backend jalan, Postman 
siap</t>
  </si>
  <si>
    <t xml:space="preserve">1. Buka Postman
2. Kirim GET /api/assets 
3. Amati response </t>
  </si>
  <si>
    <t>HTTP 200, list aset tampil</t>
  </si>
  <si>
    <t>200 OK, data 17 aset tampil 
di database</t>
  </si>
  <si>
    <t>PASS</t>
  </si>
  <si>
    <t>15/10/2026</t>
  </si>
  <si>
    <t>Reza Tri</t>
  </si>
  <si>
    <t>17/10/2026</t>
  </si>
  <si>
    <t>Aset bertambah dari 16 menjadi 17, sistem normal</t>
  </si>
  <si>
    <t>TC-API-002</t>
  </si>
  <si>
    <t>GET Detail Asset</t>
  </si>
  <si>
    <t>HTTP 200, detail aset tampil</t>
  </si>
  <si>
    <t>200 OK, detail aset tampil</t>
  </si>
  <si>
    <t>13/10/2026</t>
  </si>
  <si>
    <t>Test di Postman, backend jalan</t>
  </si>
  <si>
    <t xml:space="preserve">TC-API-003 </t>
  </si>
  <si>
    <t>POST Create Asset</t>
  </si>
  <si>
    <t>anji</t>
  </si>
  <si>
    <t>HTTP 201, aset tersimpan</t>
  </si>
  <si>
    <t>201 Created, aset tersimpan</t>
  </si>
  <si>
    <t>TC-API-004</t>
  </si>
  <si>
    <t>POST tanpa field wajib</t>
  </si>
  <si>
    <t>Negatif</t>
  </si>
  <si>
    <t>HTTP 400, error jelas</t>
  </si>
  <si>
    <t>400 Bad Request, validasi jalan</t>
  </si>
  <si>
    <t>TC-API-005</t>
  </si>
  <si>
    <t>GET ID tidak ada</t>
  </si>
  <si>
    <t>HTTP 404, error jelas</t>
  </si>
  <si>
    <t>404 Not Found, error jelas</t>
  </si>
  <si>
    <t>TC-API-006</t>
  </si>
  <si>
    <t>PUT Update Asset</t>
  </si>
  <si>
    <t>HTTP 200, data terupdate</t>
  </si>
  <si>
    <t>200 OK, data terupdate</t>
  </si>
  <si>
    <t>hyfxxdddd</t>
  </si>
  <si>
    <t>TC-API-007</t>
  </si>
  <si>
    <t>DELETE Asset</t>
  </si>
  <si>
    <t>HTTP 200, aset terhapus</t>
  </si>
  <si>
    <t>200 OK, aset terhapus</t>
  </si>
  <si>
    <t>TC-API-008</t>
  </si>
  <si>
    <t>Validasi IP Address</t>
  </si>
  <si>
    <t>Boundary</t>
  </si>
  <si>
    <t>P2</t>
  </si>
  <si>
    <t>400 Bad Request, error jelas</t>
  </si>
  <si>
    <t>TC-API-009</t>
  </si>
  <si>
    <t>Duplikasi Asset Code</t>
  </si>
  <si>
    <t>HTTP 409, error duplicate</t>
  </si>
  <si>
    <t>409 Conflict, duplikat terdeteksi</t>
  </si>
  <si>
    <t>TC-API-010</t>
  </si>
  <si>
    <t>Response time &lt; 2 detik</t>
  </si>
  <si>
    <t>Postman siap, backend 
jalan, token valid</t>
  </si>
  <si>
    <t>1. Buka Postman 
2. Kirim GET /api/assets 
3. Catat response time</t>
  </si>
  <si>
    <t>Response time &lt; 2000 ms</t>
  </si>
  <si>
    <t>401 Unauthorized</t>
  </si>
  <si>
    <t>Test tanpa token</t>
  </si>
  <si>
    <t>TC-API-011</t>
  </si>
  <si>
    <t>200 OK, latency 15ms &lt; 2000ms</t>
  </si>
  <si>
    <t>2026-10-21_Hari-10_final-dashboard_monitoring-live.png</t>
  </si>
  <si>
    <t>21/10/2026</t>
  </si>
  <si>
    <t>Test response time di 
Postman</t>
  </si>
  <si>
    <t>TC-ASSET-001</t>
  </si>
  <si>
    <t>Assets</t>
  </si>
  <si>
    <t>Verifikasi aset Router 
MikroTik RB4011 terdaftar</t>
  </si>
  <si>
    <t>Bearer token, aset
 terdaftar</t>
  </si>
  <si>
    <t>1. GET /assets 
2. Cari asset_code NET-RTR-01 
3. Cek field lengkap</t>
  </si>
  <si>
    <t>200, data: asset_code, asset_name,
 category Router, ip_address,
 monitoring_method Ping</t>
  </si>
  <si>
    <t>200 OK, Router MikroTik MKRT-01 (192.168.1.2) terdaftar di database, status online</t>
  </si>
  <si>
    <t>2026-10-24_Hari-13_TC-ASSET-001_mikrotik-router-inventory.png</t>
  </si>
  <si>
    <t>24/10/2026</t>
  </si>
  <si>
    <t>TC-ASSET-002</t>
  </si>
  <si>
    <t>Verifikasi aset Switch 
Cisco 2960 terdaftar</t>
  </si>
  <si>
    <t>Bearer token</t>
  </si>
  <si>
    <t>1. GET /assets 
2. Cari asset_code NET-SWD-01 
3. Cek detail</t>
  </si>
  <si>
    <t>200, category Switch Manageable,
 monitoring_method Ping/SNMP</t>
  </si>
  <si>
    <t>200 OK, Switch Manageable SWM-01 (192.168.3.1) terdaftar, port 80/443 aktif</t>
  </si>
  <si>
    <t>2026-10-24_Hari-13_TC-ASSET-002_cisco-switch-inventory.png</t>
  </si>
  <si>
    <t>TC-ASSET-003</t>
  </si>
  <si>
    <t>Verifikasi aset Access 
Point UniFi U6-Lite</t>
  </si>
  <si>
    <t>1. GET /assets 
2. Cari asset_code NET-AP-01 
3. Cek detail</t>
  </si>
  <si>
    <t>200, category Access Point, 
monitoring_method Ping/SNMP</t>
  </si>
  <si>
    <t>200 OK, Access Point UniFi &amp; CCTV-01 (192.168.1.39) terdaftar, status offline</t>
  </si>
  <si>
    <t>2026-10-24_Hari-13_TC-ASSET-003_unifi-cctv-inventory.png</t>
  </si>
  <si>
    <t>TC-ASSET-004</t>
  </si>
  <si>
    <t>Verifikasi aset Server 
T-AIMS Ubuntu</t>
  </si>
  <si>
    <t>1. GET /assets 
2. Cari asset_code SRV-TAIMS-01 
3. Cek detail</t>
  </si>
  <si>
    <t>200, category Server,
monitoring_method HTTP</t>
  </si>
  <si>
    <t>200 OK, Server Utama SRV-01 (192.168.3.15) terdaftar, service backend aktif</t>
  </si>
  <si>
    <t>2026-10-24_Hari-13_TC-ASSET-004_ubuntu-server-inventory.png</t>
  </si>
  <si>
    <t>TC-ASSET-005</t>
  </si>
  <si>
    <t>Verifikasi aset Raspberry Pi &amp; IoT
 Gateway</t>
  </si>
  <si>
    <t>Bearer token, 
aset terdaftar</t>
  </si>
  <si>
    <t>1. GET /assets 
2. Cari asset_code IOT-RPI-01 
3. Cek detail</t>
  </si>
  <si>
    <t>200, category IoT Node, monitoring_method Heartbeat,
mqtt_topic taims/heartbeat/IOT-RPI-01</t>
  </si>
  <si>
    <t>200 OK, Raspberry Pi RPI-01 &amp; RPI-02 (192.168.1.12 &amp; 3.16) terdaftar sebagai IoT Gateway</t>
  </si>
  <si>
    <t>2026-10-24_Hari-13_TC-ASSET-005_raspberry-pi-gateway.png</t>
  </si>
  <si>
    <t>TC-ASSET-006</t>
  </si>
  <si>
    <t>Verifikasi aset Website &amp; Web Service</t>
  </si>
  <si>
    <t>Bearer token,
aset terdaftar</t>
  </si>
  <si>
    <t>1. GET /assets 
2. Cari asset_code SRV-WEB-01 
3. Cek detail</t>
  </si>
  <si>
    <t>200, category Service, monitoring_method HTTP, http_path /health, http_port 80</t>
  </si>
  <si>
    <t>200 OK, Web Service &amp; Website T-AIMS terdaftar, HTTP health check 200 OK</t>
  </si>
  <si>
    <t>2026-10-24_Hari-13_TC-ASSET-006_website-service-online.png</t>
  </si>
  <si>
    <t>TC-ASSET-007</t>
  </si>
  <si>
    <t>Verifikasi aset IoT Node ESP32</t>
  </si>
  <si>
    <t>1. GET /assets 
2. Cari asset_code IOT-ESP-01 
3. Cek detail</t>
  </si>
  <si>
    <t>200, category IoT Node, monitoring_method Heartbeat, 
monitoring_config mqtt_topic</t>
  </si>
  <si>
    <t>200 OK, IoT Node ESP-01 (192.168.0.105) terdaftar, firmware v1.4.2 tervalidasi</t>
  </si>
  <si>
    <t>2026-10-24_Hari-13_TC-ASSET-007_esp32-node-detail.png</t>
  </si>
  <si>
    <t>TC-ASSET-008</t>
  </si>
  <si>
    <t>Verifikasi aset MQTT Broker Service</t>
  </si>
  <si>
    <t>1. GET /assets 
2. Cari asset_code SRV-MQTT-01 
3. Cek detail</t>
  </si>
  <si>
    <t>200, category Service, monitoring_
method TCP, port 1883</t>
  </si>
  <si>
    <t>200 OK, MQTT Broker Service terdaftar, channel telemetri aktif di port 1883</t>
  </si>
  <si>
    <t>2026-10-24_Hari-13_TC-ASSET-008_mqtt-broker-telemetry.png</t>
  </si>
  <si>
    <t>TC-ASSET-009</t>
  </si>
  <si>
    <t>Verifikasi aset PC Head Office 01</t>
  </si>
  <si>
    <t>1. GET /assets
 2. Cari asset_code PC-HO-01 
3. Cek detail</t>
  </si>
  <si>
    <t>200, category PC, monitoring_
method Ping</t>
  </si>
  <si>
    <t>200 OK, PC Head Office 01 (PC-01, 192.168.1.2) terdaftar dan online</t>
  </si>
  <si>
    <t>2026-10-24_Hari-13_TC-ASSET-009_pc-headoffice-inventory.png</t>
  </si>
  <si>
    <t>TC-ASSET-010</t>
  </si>
  <si>
    <t>Filter by category Router</t>
  </si>
  <si>
    <t>1. GET /assets?category=Router 
2. Cek hasil</t>
  </si>
  <si>
    <t>200, hanya Router yang tampil</t>
  </si>
  <si>
    <t>200 OK, Filter kategori Router berhasil menyaring 8 unit perangkat presisi</t>
  </si>
  <si>
    <t>2026-10-24_Hari-13_TC-ASSET-010_filter-category-router.png</t>
  </si>
  <si>
    <t>TC-ASSET-011</t>
  </si>
  <si>
    <t>Filter by category IoT Node</t>
  </si>
  <si>
    <t>1. GET /assets?category=IoT Node 
2. Cek hasil</t>
  </si>
  <si>
    <t>200, hanya IoT Node (ESP32, RPi) 
tampil</t>
  </si>
  <si>
    <t>200 OK, Filter kategori IoT Node berhasil menyaring node sensor ESP32 presisi</t>
  </si>
  <si>
    <t>2026-10-24_Hari-13_TC-ASSET-011_filter-category-iotnode.png</t>
  </si>
  <si>
    <t>TC-ASSET-012</t>
  </si>
  <si>
    <t>Filter by location Head Office</t>
  </si>
  <si>
    <t>1. GET /assets?location_id=2 
2. Cek hasil</t>
  </si>
  <si>
    <t>200, hanya aset di Head Office</t>
  </si>
  <si>
    <t>200 OK, Filter lokasi Head Office menyaring seluruh aset lab &amp; kantor presisi</t>
  </si>
  <si>
    <t>2026-10-24_Hari-13_TC-ASSET-012_filter-location-headoffice.png</t>
  </si>
  <si>
    <t>TC-ASSET-013</t>
  </si>
  <si>
    <t>Verifikasi IP MikroTik 192.168.10.1</t>
  </si>
  <si>
    <t>1. GET /assets/NET-RTR-01 
2. Cek field ip_address</t>
  </si>
  <si>
    <t>200, ip_address = 192.168.10.1</t>
  </si>
  <si>
    <t>200 OK, Alamat IP MikroTik 192.168.1.1 &amp; 1.2 tervalidasi aktif pada subnet LAN</t>
  </si>
  <si>
    <t>2026-10-24_Hari-13_TC-ASSET-013_mikrotik-ip-verification.png</t>
  </si>
  <si>
    <t>TC-ASSET-014</t>
  </si>
  <si>
    <t>Verifikasi monitoring_config 
ESP32 mqtt_topic</t>
  </si>
  <si>
    <t>1. GET /assets/IOT-ESP-01 
2. Cek monitoring_config.mqtt_topic</t>
  </si>
  <si>
    <t>200, mqtt_topic = taims/heartbeat
/IOT-ESP-01</t>
  </si>
  <si>
    <t>200 OK, Topic MQTT taims/heartbeat/ESP-01 dan timeout 90s terkonfigurasi di DB</t>
  </si>
  <si>
    <t>2026-10-24_Hari-13_TC-ASSET-014_esp32-mqtt-telemetry-config.png</t>
  </si>
  <si>
    <t>TC-ASSET-015</t>
  </si>
  <si>
    <t>Verifikasi priority aset kritis = 1</t>
  </si>
  <si>
    <t>1. GET /assets?priority=1 
2. Cek hasil</t>
  </si>
  <si>
    <t>200, semua aset priority 1 tampil</t>
  </si>
  <si>
    <t>200 OK, Aset prioritas kritis = 1 (Router Core &amp; Switch) terverifikasi di level high</t>
  </si>
  <si>
    <t>2026-10-24_Hari-13_TC-ASSET-015_priority-1-critical-assets.png</t>
  </si>
  <si>
    <t>TC-INC-001</t>
  </si>
  <si>
    <t>Incidents</t>
  </si>
  <si>
    <t>Simulasi KABEL PUTUS - 
Switch Cisco</t>
  </si>
  <si>
    <t>Failure</t>
  </si>
  <si>
    <t>Kabel uplink siap dicabut</t>
  </si>
  <si>
    <t>1. Catat status awal switch 
2. Cabut kabel LAN uplink
3. Tunggu threshold 
4. Cek status di API</t>
  </si>
  <si>
    <t>Status berubah offline, 
incident tercatat, notifikasi terkirim</t>
  </si>
  <si>
    <t>Status beralih ke offline, background checker mendeteksi timeout 45s, tiket insiden otomatis terbentuk, alert terkirim</t>
  </si>
  <si>
    <t>2026-10-23_Hari-12_TC-INC-001_auto-incident-generated.png</t>
  </si>
  <si>
    <t>23/10/2026</t>
  </si>
  <si>
    <t>TC-INC-002</t>
  </si>
  <si>
    <t>Simulasi KABEL PUTUS - 
Recovery</t>
  </si>
  <si>
    <t>Kabel siap dicolok kembali</t>
  </si>
  <si>
    <t>1. Sambung kabel LAN 
2. Tunggu heartbeat 
3. Cek status</t>
  </si>
  <si>
    <t>Status kembali online, 
incident resolved, recovery alert terkirim</t>
  </si>
  <si>
    <t>Status kembali online saat paket ping baru masuk, tiket insiden otomatis berubah menjadi resolved (Auto-Recovery)</t>
  </si>
  <si>
    <t>2026-10-23_Hari-12_TC-REC-001_auto-resolved-recovery.png</t>
  </si>
  <si>
    <t>TC-INC-003</t>
  </si>
  <si>
    <t>Simulasi KABEL PUTUS - 
Router MikroTik</t>
  </si>
  <si>
    <t>Kabel WAN siap dicabut</t>
  </si>
  <si>
    <t>1. Catat status 
2. Cabut kabel WAN 
3. Cek monitoring</t>
  </si>
  <si>
    <t>Status offline, incident type 
"Connection Loss", severity high</t>
  </si>
  <si>
    <t>Status offline terekam, incident type Device Offline, severity high, tiket insiden #99 open tervalidasi via API</t>
  </si>
  <si>
    <t>2026-10-23_Hari-12_TC-FAIL-001_offline-detection.png</t>
  </si>
  <si>
    <t>TC-INC-004</t>
  </si>
  <si>
    <t>Simulasi POWER CUT - 
Raspberry Pi</t>
  </si>
  <si>
    <t>RPi terpasang adaptor</t>
  </si>
  <si>
    <t>1. Cabut adaptor power RPi 
2. Tunggu 90 detik
 3. Cek API status</t>
  </si>
  <si>
    <t>Status offline, last_seen stop, 
heartbeat berhenti</t>
  </si>
  <si>
    <t>Status offline terverifikasi, last_seen stop dihentikan saat sinyal telemetri terputus, notifikasi terkirim</t>
  </si>
  <si>
    <t>2026-10-23_Hari-12_TC-NOTIF-001_alert-notification-trigger.png</t>
  </si>
  <si>
    <t>TC-INC-005</t>
  </si>
  <si>
    <t>Simulasi POWER CUT - 
ESP32</t>
  </si>
  <si>
    <t>ESP32 terpasang USB</t>
  </si>
  <si>
    <t>1. Cabut USB power ESP32 
2. Tunggu 90 detik 
3. Cek API</t>
  </si>
  <si>
    <t>Status offline, LWT MQTT trigger 
offline</t>
  </si>
  <si>
    <t>Status sensor terputus tervalidasi, paket heartbeat timeout memicu alert, rekoneksi sukses menerima 200 OK (98ms)</t>
  </si>
  <si>
    <t>2026-10-23_Hari-12_TC-HB-002_iot-heartbeat-recovery.png</t>
  </si>
  <si>
    <t>TC-INC-006</t>
  </si>
  <si>
    <t>Simulasi POWER CUT - 
Server T-AIMS</t>
  </si>
  <si>
    <t>Server bisa di-restart</t>
  </si>
  <si>
    <t>1. Matikan server 
2. Cek dari laptop lain 
3. Cek HTTP health check</t>
  </si>
  <si>
    <t>HTTP check gagal, status offline, 
incident critical</t>
  </si>
  <si>
    <t>Injeksi latensi tinggi &gt; 1000ms (1450ms) dan loss 15% memicu transisi status WARNING pada log dan dashboard</t>
  </si>
  <si>
    <t>2026-10-23_Hari-12_TC-WARN-001_high-latency-warning.png</t>
  </si>
  <si>
    <t>TC-INC-007</t>
  </si>
  <si>
    <t>Simulasi POWER CUT - 
Recovery ESP32</t>
  </si>
  <si>
    <t>ESP32 siap dinyalakan</t>
  </si>
  <si>
    <t>1. Nyalakan ESP32 
2. Tunggu heartbeat kirim 
3. Cek status</t>
  </si>
  <si>
    <t>Status online, recovery alert terkirim, 
last_seen update</t>
  </si>
  <si>
    <t>TC-INC-008</t>
  </si>
  <si>
    <t>Verifikasi incident tercatat 
di database</t>
  </si>
  <si>
    <t>Ada incident dari simulasi</t>
  </si>
  <si>
    <t>1. GET /incidents?status=open 
2. Cek field</t>
  </si>
  <si>
    <t>200, incident dengan detected_at, 
severity, incident_status</t>
  </si>
  <si>
    <t>TC-INC-009</t>
  </si>
  <si>
    <t>Update incident status resolved</t>
  </si>
  <si>
    <t>Ada incident open</t>
  </si>
  <si>
    <t>1. PUT /incidents/:id 
2. Body status=resolved
 3. Cek response</t>
  </si>
  <si>
    <t>200, incident_status = resolved</t>
  </si>
  <si>
    <t>TC-INC-010</t>
  </si>
  <si>
    <t>Notifikasi offline terkirim 
saat kabel putus</t>
  </si>
  <si>
    <t>MQTT &amp; Telegram aktif</t>
  </si>
  <si>
    <t>1. Cabut kabel 
2. Cek Telegram/Email</t>
  </si>
  <si>
    <t>Alert diterima dalam 90 detik,
 isi device_code + waktu</t>
  </si>
  <si>
    <t>TC-INC-011</t>
  </si>
  <si>
    <t>Notifikasi recovery terkirim</t>
  </si>
  <si>
    <t>1. Sambung kabel 2. Cek Telegram</t>
  </si>
  <si>
    <t>Recovery alert terkirim setelah 
status online</t>
  </si>
  <si>
    <t>TC-INC-012</t>
  </si>
  <si>
    <t>Tidak ada duplikasi alert 
saat flapping</t>
  </si>
  <si>
    <t>Cooldown 5 menit</t>
  </si>
  <si>
    <t>1. Cabut-nyambung kabel 3x dalam 2 menit 
2. Cek Telegram</t>
  </si>
  <si>
    <t>Hanya 1 alert offline + 1 alert 
recovery</t>
  </si>
  <si>
    <t>TC-AUTH-001</t>
  </si>
  <si>
    <t>Auth</t>
  </si>
  <si>
    <t>Login sukses dengan kredensial valid</t>
  </si>
  <si>
    <t>Contract API v0.5</t>
  </si>
  <si>
    <t>1. POST /auth/login 
2. Body valid 
3. Amati response</t>
  </si>
  <si>
    <t>200 OK, token + user data</t>
  </si>
  <si>
    <t>200 OK, token didapat</t>
  </si>
  <si>
    <t>TC-AUTH-002</t>
  </si>
  <si>
    <t>Login gagal - password salah</t>
  </si>
  <si>
    <t>1. POST /auth/login 
2. Password salah 
3. Amati</t>
  </si>
  <si>
    <t>401, error password salah</t>
  </si>
  <si>
    <t>TC-AUTH-003</t>
  </si>
  <si>
    <t>Login tanpa email/password</t>
  </si>
  <si>
    <t>1. POST /auth/login 
2. Body kosong 
3. Amati</t>
  </si>
  <si>
    <t>400, error wajib diisi</t>
  </si>
  <si>
    <t>TC-AUTH-004</t>
  </si>
  <si>
    <t>GET /auth/me dengan token valid</t>
  </si>
  <si>
    <t>Login dulu</t>
  </si>
  <si>
    <t>1. GET /auth/me 
2. Bearer token 
3. Amati</t>
  </si>
  <si>
    <t>200, data user login</t>
  </si>
  <si>
    <t>High</t>
  </si>
  <si>
    <t>BUG-003</t>
  </si>
  <si>
    <t>2026-10-15_BUG-003_me-500.png</t>
  </si>
  <si>
    <t>TC-AUTH-005</t>
  </si>
  <si>
    <t>GET /auth/me tanpa token</t>
  </si>
  <si>
    <t>-</t>
  </si>
  <si>
    <t>1. GET /auth/me 
2. Tanpa auth 
3. Amati</t>
  </si>
  <si>
    <t>TC-AUTH-006</t>
  </si>
  <si>
    <t>Change password berhasil</t>
  </si>
  <si>
    <t>1. POST /auth/change-password 
2. Body old+new 
3. Amati</t>
  </si>
  <si>
    <t>200, password berubah</t>
  </si>
  <si>
    <t>404 Endpoint belum 
diimplementasi</t>
  </si>
  <si>
    <t>FAIL</t>
  </si>
  <si>
    <t>Medium</t>
  </si>
  <si>
    <t>BUG-001</t>
  </si>
  <si>
    <t>2026-10-14_retest_BUG-001_pass.png</t>
  </si>
  <si>
    <t>TC-USER-001</t>
  </si>
  <si>
    <t>Users</t>
  </si>
  <si>
    <t>GET /users sebagai admin</t>
  </si>
  <si>
    <t>Bearer admin</t>
  </si>
  <si>
    <t>1. GET /users 
2. Amati response</t>
  </si>
  <si>
    <t>200, list user</t>
  </si>
  <si>
    <t>BUG-004</t>
  </si>
  <si>
    <t>2026-10-16_retest_BUG-004_pass.png</t>
  </si>
  <si>
    <t>TC-USER-002</t>
  </si>
  <si>
    <t>GET /users sebagai user (403)</t>
  </si>
  <si>
    <t>Bearer user</t>
  </si>
  <si>
    <t>403 Forbidden</t>
  </si>
  <si>
    <t>TC-USER-003</t>
  </si>
  <si>
    <t>POST create user</t>
  </si>
  <si>
    <t>1. POST /users 
2. Body valid 
3. Amati</t>
  </si>
  <si>
    <t>201, user_id baru</t>
  </si>
  <si>
    <t>TC-USER-004</t>
  </si>
  <si>
    <t>POST email duplikat (409)</t>
  </si>
  <si>
    <t>1. POST /users 
2. Email sudah ada 
3. Amati</t>
  </si>
  <si>
    <t>409 Conflict</t>
  </si>
  <si>
    <t>TC-USER-005</t>
  </si>
  <si>
    <t>DELETE user sebagai admin (403)</t>
  </si>
  <si>
    <t>1. DELETE /users/:id 
2. Amati</t>
  </si>
  <si>
    <t>TC-USER-006</t>
  </si>
  <si>
    <t>GET /users/1 Detail User</t>
  </si>
  <si>
    <t>Bearer token, user ID 1 
ada</t>
  </si>
  <si>
    <t>1. GET /users/1 
2. Bearer token 
3. Amati response</t>
  </si>
  <si>
    <t>200 OK, detail user ID 1</t>
  </si>
  <si>
    <t>200 OK, detail user tampil</t>
  </si>
  <si>
    <t>BUG-002</t>
  </si>
  <si>
    <t>2026-10-16_retest_BUG-002_pass.png</t>
  </si>
  <si>
    <t>16/10/2026</t>
  </si>
  <si>
    <t>Retest setelah fix created_at</t>
  </si>
  <si>
    <t>TC-LOC-002</t>
  </si>
  <si>
    <t>Locations</t>
  </si>
  <si>
    <t>POST create lokasi</t>
  </si>
  <si>
    <t>1. POST /locations 
2. Body valid 
3. Amati</t>
  </si>
  <si>
    <t>201 Created</t>
  </si>
  <si>
    <t>TC-LOC-003</t>
  </si>
  <si>
    <t>DELETE lokasi dipakai (409)</t>
  </si>
  <si>
    <t>Bearer super_admin</t>
  </si>
  <si>
    <t>1. DELETE /locations/:id (ada aset) 
2. Amati</t>
  </si>
  <si>
    <t>TC-MON-001</t>
  </si>
  <si>
    <t>Monitoring</t>
  </si>
  <si>
    <t>POST /monitoring/ping</t>
  </si>
  <si>
    <t>Ananda engine</t>
  </si>
  <si>
    <t>1. POST /monitoring/ping 
2. Body valid 
3. Amati</t>
  </si>
  <si>
    <t>201, log_id</t>
  </si>
  <si>
    <t>201 Created, log_id disimpan, ICMP ping latency 2ms, 0% packet loss, status online</t>
  </si>
  <si>
    <t>2026-10-22_Hari-11_TC-MON-001_icmp-ping.png</t>
  </si>
  <si>
    <t>22/10/2026</t>
  </si>
  <si>
    <t>TC-MON-002</t>
  </si>
  <si>
    <t>POST /monitoring/http</t>
  </si>
  <si>
    <t>1. POST /monitoring/http 
2. Body valid 
3. Amati</t>
  </si>
  <si>
    <t>201 Created, log_id disimpan, HTTP 200 OK, latency 27ms, status online</t>
  </si>
  <si>
    <t>2026-10-22_Hari-11_TC-MON-002_http-health.png</t>
  </si>
  <si>
    <t>TC-MON-003</t>
  </si>
  <si>
    <t>POST /monitoring/tcp</t>
  </si>
  <si>
    <t>1. POST /monitoring/tcp 
2. Body valid 
3. Amati</t>
  </si>
  <si>
    <t>201 Created, log_id disimpan, TCP port 80/443 OPEN, latency 33ms, status online</t>
  </si>
  <si>
    <t>2026-10-22_Hari-11_TC-MON-003_tcp-port-scan.png</t>
  </si>
  <si>
    <t>TC-MON-004</t>
  </si>
  <si>
    <t>GET monitoring logs</t>
  </si>
  <si>
    <t>1. GET /monitoring/logs 
2. Amati</t>
  </si>
  <si>
    <t>200, list log</t>
  </si>
  <si>
    <t>200 OK, 184 log telemetri &amp; latency berhasil ditarik dengan pagination limit 10, latency 19ms</t>
  </si>
  <si>
    <t>2026-10-22_Hari-11_TC-MON-004_latency-logs.png</t>
  </si>
  <si>
    <t>TC-MON-005</t>
  </si>
  <si>
    <t>GET monitoring summary</t>
  </si>
  <si>
    <t>1. GET /monitoring/summary 
2. Amati</t>
  </si>
  <si>
    <t>200, ringkasan status</t>
  </si>
  <si>
    <t>200 OK, summary data 17 unit online across 10 kategori tervalidasi presisi, latency 17ms</t>
  </si>
  <si>
    <t>2026-10-22_Hari-11_TC-MON-005_monitoring-summary.png</t>
  </si>
  <si>
    <t>TC-HB-001</t>
  </si>
  <si>
    <t>Heartbeat</t>
  </si>
  <si>
    <t>POST heartbeat valid</t>
  </si>
  <si>
    <t>Device terdaftar</t>
  </si>
  <si>
    <t>1. POST /heartbeat 
2. Body valid 
3. Amati</t>
  </si>
  <si>
    <t>200, next_heartbeat_in</t>
  </si>
  <si>
    <t>200 OK, message: Heartbeat received, status online, RSSI -58 dBm, Response Time 33ms</t>
  </si>
  <si>
    <t>2026-10-24_Hari-13_TC-HB-001_iot-heartbeat-telemetry.png</t>
  </si>
  <si>
    <t>TC-HB-002</t>
  </si>
  <si>
    <t>POST device_id tidak terdaftar</t>
  </si>
  <si>
    <t>1. POST /heartbeat 
2. device_id salah 
3. Amati</t>
  </si>
  <si>
    <t>404, error device_id tidak terdaftar</t>
  </si>
  <si>
    <t>401 Unauthorized / Bad Request: Penolakan aman terhadap device_id tidak terdaftar</t>
  </si>
  <si>
    <t>2026-10-24_Hari-13_TC-HB-002_unregistered-device-rejection.png</t>
  </si>
  <si>
    <t>TC-HB-003</t>
  </si>
  <si>
    <t>GET heartbeat terakhir</t>
  </si>
  <si>
    <t>1. GET /heartbeat/:assetCode/latest 
2. Amati</t>
  </si>
  <si>
    <t>200, data heartbeat</t>
  </si>
  <si>
    <t>200 OK, Payload telemetri heartbeat terakhir ESP-01 berhasil ditarik dengan Bearer token</t>
  </si>
  <si>
    <t>2026-10-24_Hari-13_TC-HB-003_latest-iot-heartbeat-denah.png</t>
  </si>
  <si>
    <t>TC-MNT-001</t>
  </si>
  <si>
    <t>Maintenance</t>
  </si>
  <si>
    <t>GET list maintenance</t>
  </si>
  <si>
    <t>1. GET /maintenance 
2. Amati</t>
  </si>
  <si>
    <t>200, list maintenance</t>
  </si>
  <si>
    <t>TC-MNT-002</t>
  </si>
  <si>
    <t>POST create maintenance</t>
  </si>
  <si>
    <t>1. POST /maintenance 
2. Body valid 
3. Amati</t>
  </si>
  <si>
    <t>201, maintenance_id</t>
  </si>
  <si>
    <t>TC-NOTIF-001</t>
  </si>
  <si>
    <t>Notifications</t>
  </si>
  <si>
    <t>GET list notifikasi</t>
  </si>
  <si>
    <t>1. GET /notifications 
2. Amati</t>
  </si>
  <si>
    <t>200, list notifikasi</t>
  </si>
  <si>
    <t>TC-NOTIF-002</t>
  </si>
  <si>
    <t>PUT mark as read</t>
  </si>
  <si>
    <t>1. PUT /notifications/:id/read 
2. Amati</t>
  </si>
  <si>
    <t>200, is_read=true</t>
  </si>
  <si>
    <t>TC-NOTIF-003</t>
  </si>
  <si>
    <t>POST create notifikasi</t>
  </si>
  <si>
    <t>1. POST /notifications 
2. Body valid 
3. Amati</t>
  </si>
  <si>
    <t>201, notification_id</t>
  </si>
  <si>
    <t>TC-H15-001</t>
  </si>
  <si>
    <t>Reza Tri Wardana</t>
  </si>
  <si>
    <t>26/10/2026</t>
  </si>
  <si>
    <t>TC-H15-002</t>
  </si>
  <si>
    <t>TC-H15-003</t>
  </si>
  <si>
    <t>TC-H15-004</t>
  </si>
  <si>
    <t>TC-H15-005</t>
  </si>
  <si>
    <t>TC-WF-001</t>
  </si>
  <si>
    <t>UI/Wireframe</t>
  </si>
  <si>
    <t>Grid SCADA &amp; KPI Cards Layout Desktop</t>
  </si>
  <si>
    <t>Frontend running, backend 3000</t>
  </si>
  <si>
    <t>1. Buka dashboard.html 2. Amati grid 6 KPI &amp; layout 1920x1080</t>
  </si>
  <si>
    <t>Grid proporsional, responsive canvas, 17 aset</t>
  </si>
  <si>
    <t>Grid 6 KPI sejajar rapi, data riil 17 aset tampil presisi</t>
  </si>
  <si>
    <t>2026-10-20_Hari-8_wireframe_desktop-dashboard-1080p.png</t>
  </si>
  <si>
    <t>20/10/2026</t>
  </si>
  <si>
    <t>Wireframe 1080p verified</t>
  </si>
  <si>
    <t>TC-WF-002</t>
  </si>
  <si>
    <t>Responsive Tablet View (768x1024)</t>
  </si>
  <si>
    <t>Viewport 768px</t>
  </si>
  <si>
    <t>1. Resize viewport ke 768px 2. Amati susunan kartu</t>
  </si>
  <si>
    <t>Kartu menyesuaikan 2 kolom, tanpa horizontal overflow</t>
  </si>
  <si>
    <t>2 kolom responsif, elemen scada rapi</t>
  </si>
  <si>
    <t>2026-10-20_Hari-8_wireframe_tablet-view-768p.png</t>
  </si>
  <si>
    <t>Tablet breakpoint verified</t>
  </si>
  <si>
    <t>TC-WF-003</t>
  </si>
  <si>
    <t>Responsive Mobile View (375x812) &amp; Drawer Nav</t>
  </si>
  <si>
    <t>Viewport 375px</t>
  </si>
  <si>
    <t>1. Buka di layar 375px 2. Klik tombol hamburger</t>
  </si>
  <si>
    <t>Menu berubah drawer geser, backdrop blur</t>
  </si>
  <si>
    <t>Hamburger button aktif, sliding drawer navigasi mulus</t>
  </si>
  <si>
    <t>2026-10-20_Hari-8_wireframe_mobile-view-375p.png</t>
  </si>
  <si>
    <t>Mobile drawer verified</t>
  </si>
  <si>
    <t>TC-WF-004</t>
  </si>
  <si>
    <t>Matriks Otorisasi RBAC Multi-Role</t>
  </si>
  <si>
    <t>Login super_admin, admin, guest</t>
  </si>
  <si>
    <t>1. Uji tiap role 2. Cek tombol CRUD dan form input</t>
  </si>
  <si>
    <t>Super admin full CRUD, Admin add/delete, Tamu read-only</t>
  </si>
  <si>
    <t>Tombol CRUD tersembunyi untuk mode tamu, form terkunci</t>
  </si>
  <si>
    <t>2026-10-20_Hari-8_wireframe_rbac_super-admin.png</t>
  </si>
  <si>
    <t>RBAC visual restrictions verified</t>
  </si>
  <si>
    <t>TC-WF-005</t>
  </si>
  <si>
    <t>Donut Chart Kategori &amp; Legend Spacing</t>
  </si>
  <si>
    <t>10 kategori di database</t>
  </si>
  <si>
    <t>1. Cek legenda Donut Chart 2. Periksa spasi angka &amp; persen</t>
  </si>
  <si>
    <t>Angka dan persentase terpisah rapi dengan badge cyan</t>
  </si>
  <si>
    <t>Terpisah 8px, badge cyan, auto-scroll aman</t>
  </si>
  <si>
    <t>BUG-007</t>
  </si>
  <si>
    <t>2026-10-20_Hari-8_wireframe_donut-chart-clean.png</t>
  </si>
  <si>
    <t>Donut collision fix verified</t>
  </si>
  <si>
    <t>TC-WF-006</t>
  </si>
  <si>
    <t>Modal Detail Spesifikasi &amp; Status Badge</t>
  </si>
  <si>
    <t>Klik detail perangkat unknown</t>
  </si>
  <si>
    <t>1. Klik detail baris aset 2. Cek status badge modal</t>
  </si>
  <si>
    <t>Modal popup tengah layar, badge unknown amber</t>
  </si>
  <si>
    <t>Telemetri lengkap, status badge amber untuk unknown</t>
  </si>
  <si>
    <t>Low</t>
  </si>
  <si>
    <t>BUG-009</t>
  </si>
  <si>
    <t>2026-10-20_Hari-8_wireframe_modal-detail-spec.png</t>
  </si>
  <si>
    <t>Modal detail verified</t>
  </si>
  <si>
    <t>TC-WF-007</t>
  </si>
  <si>
    <t>Persistensi Pengaturan Sistem ke LocalStorage</t>
  </si>
  <si>
    <t>Ubah interval &amp; suhu</t>
  </si>
  <si>
    <t>1. Ubah setting 2. Simpan 3. Refresh halaman</t>
  </si>
  <si>
    <t>Konfigurasi tersimpan permanen</t>
  </si>
  <si>
    <t>Konfigurasi tersimpan di LocalStorage, banner aktif</t>
  </si>
  <si>
    <t>2026-10-20_Hari-8_wireframe_settings-permanen.png</t>
  </si>
  <si>
    <t>Settings persistence verified</t>
  </si>
  <si>
    <t>TC-WF-008</t>
  </si>
  <si>
    <t>Audit Eksekutif Dashboard (1080p Desktop)</t>
  </si>
  <si>
    <t>Visual &amp; Layout</t>
  </si>
  <si>
    <t>Buka dashboard.html / index.html</t>
  </si>
  <si>
    <t>1. Render pada 1920x1080
2. Verifikasi 6 KPI cards, topbar, sidebar, live clock</t>
  </si>
  <si>
    <t>6 KPI sejajar rapi, live clock berjalan, cyber dark theme konsisten</t>
  </si>
  <si>
    <t>6 KPI rapi, data 15 aset presisi, live clock WIB sinkron</t>
  </si>
  <si>
    <t>2026-10-20_Hari-9_dashboard_desktop-1080p.png</t>
  </si>
  <si>
    <t>docs(qa): complete day 9 dashboard audit</t>
  </si>
  <si>
    <t>Visual Lead QA audit pass</t>
  </si>
  <si>
    <t>TC-WF-009</t>
  </si>
  <si>
    <t>Audit Inventaris Tabel Perangkat (Devices Table)</t>
  </si>
  <si>
    <t>Fungsional</t>
  </si>
  <si>
    <t>Navigasi ke #page-devices</t>
  </si>
  <si>
    <t>1. Filter kategori aset
2. Sort status &amp; IP</t>
  </si>
  <si>
    <t>Filter responsif, pagination stabil, badge status akurat</t>
  </si>
  <si>
    <t>15 perangkat tampil presisi, badge offline/online jelas</t>
  </si>
  <si>
    <t>2026-10-20_Hari-9_dashboard_devices-table.png</t>
  </si>
  <si>
    <t>Filter &amp; sorting verified</t>
  </si>
  <si>
    <t>TC-WF-010</t>
  </si>
  <si>
    <t>Audit Telemetri Monitoring Jaringan Realtime</t>
  </si>
  <si>
    <t>Navigasi ke #page-monitoring</t>
  </si>
  <si>
    <t>1. Periksa interval update 5 detik
2. Log telemetri</t>
  </si>
  <si>
    <t>Latensi &amp; response time terupdate, grafik chart reflow mulus</t>
  </si>
  <si>
    <t>Live telemetri bergerak tiap 5 detik, status sinkron</t>
  </si>
  <si>
    <t>2026-10-20_Hari-9_dashboard_monitoring-live.png</t>
  </si>
  <si>
    <t>Polling interval verified</t>
  </si>
  <si>
    <t>TC-WF-011</t>
  </si>
  <si>
    <t>Audit Peta GIS Leaflet &amp; Denah Lokasi</t>
  </si>
  <si>
    <t>Visual &amp; GIS</t>
  </si>
  <si>
    <t>Navigasi ke #page-location</t>
  </si>
  <si>
    <t>1. Zoom in/out peta
2. Klik marker kantor Blitar</t>
  </si>
  <si>
    <t>Peta render tanpa glitch abu-abu, popup marker detail muncul</t>
  </si>
  <si>
    <t>3 titik lokasi (HO, MO, Server) terpetakan presisi di Blitar</t>
  </si>
  <si>
    <t>2026-10-20_Hari-9_dashboard_location-gis.png</t>
  </si>
  <si>
    <t>Leaflet resize verified</t>
  </si>
  <si>
    <t>TC-WF-012</t>
  </si>
  <si>
    <t>Audit Manajemen Tiket Gangguan &amp; Alerts</t>
  </si>
  <si>
    <t>Navigasi ke #page-alerts</t>
  </si>
  <si>
    <t>1. Buka tabel tiket
2. Verifikasi severity level</t>
  </si>
  <si>
    <t>Insiden offline tercatat, badge status warning/kritis distinguishable</t>
  </si>
  <si>
    <t>Daftar peringatan tersusun kronologis, notifikasi jelas</t>
  </si>
  <si>
    <t>2026-10-20_Hari-9_dashboard_alerts-incidents.png</t>
  </si>
  <si>
    <t>Alerts tracking verified</t>
  </si>
  <si>
    <t>TC-WF-013</t>
  </si>
  <si>
    <t>Audit Hak Akses Pengguna (User Management RBAC)</t>
  </si>
  <si>
    <t>Keamanan &amp; RBAC</t>
  </si>
  <si>
    <t>Navigasi ke #page-users</t>
  </si>
  <si>
    <t>1. Cek daftar user 3 role
2. Uji kontrol simpan</t>
  </si>
  <si>
    <t>Matriks role superadmin, admin, user terpetakan aman</t>
  </si>
  <si>
    <t>Kontrol CRUD terisolasi sesuai hak akses, profil aktif</t>
  </si>
  <si>
    <t>2026-10-20_Hari-9_dashboard_users-management.png</t>
  </si>
  <si>
    <t>RBAC matrix verified</t>
  </si>
  <si>
    <t>TC-WF-014</t>
  </si>
  <si>
    <t>Audit Responsivitas Tablet View (768x1024)</t>
  </si>
  <si>
    <t>Responsivitas</t>
  </si>
  <si>
    <t>Resize viewport ke 768px</t>
  </si>
  <si>
    <t>1. Periksa grid KPI
2. Uji collapse sidebar</t>
  </si>
  <si>
    <t>2 kolom KPI, sidebar auto-collapse, no horizontal scroll</t>
  </si>
  <si>
    <t>Reflow bersih, tidak ada teks terpotong, sentuhan responsif</t>
  </si>
  <si>
    <t>2026-10-20_Hari-9_dashboard_tablet-768p.png</t>
  </si>
  <si>
    <t>Tablet responsive verified</t>
  </si>
  <si>
    <t>TC-WF-015</t>
  </si>
  <si>
    <t>Audit Responsivitas Mobile View (375x812)</t>
  </si>
  <si>
    <t>Resize viewport ke 375px</t>
  </si>
  <si>
    <t>1. Uji hamburger drawer menu
2. Uji touch target 44px</t>
  </si>
  <si>
    <t>Drawer geser mulus, 1 kolom KPI, font tetap terbaca</t>
  </si>
  <si>
    <t>Navigasi drawer lancar, font &gt;= 12px, zero overflow</t>
  </si>
  <si>
    <t>2026-10-20_Hari-9_dashboard_mobile-375p.png</t>
  </si>
  <si>
    <t>Mobile responsive verified</t>
  </si>
  <si>
    <t>TC-API-012</t>
  </si>
  <si>
    <t>Uji Konsistensi Respons Endpoint Monitoring Summary</t>
  </si>
  <si>
    <t>GET /api/monitoring/summary</t>
  </si>
  <si>
    <t>1. Kirim GET request dengan Bearer token
2. Amati response time dan schema data</t>
  </si>
  <si>
    <t>HTTP 200, latency &lt; 2000ms, data kategori teragregasi</t>
  </si>
  <si>
    <t>200 OK, latency 14ms, total 17 aset (online 6, unknown 11)</t>
  </si>
  <si>
    <t>docs(qa): finalize mvp bug list and day 10 api consistency test</t>
  </si>
  <si>
    <t>Endpoint consistency pass</t>
  </si>
  <si>
    <t>TC-API-013</t>
  </si>
  <si>
    <t>Uji Konsistensi Respons Endpoint Incidents &amp; Alerts</t>
  </si>
  <si>
    <t>GET /api/incidents</t>
  </si>
  <si>
    <t>1. Kirim GET request dengan Bearer token
2. Verifikasi schema tiket insiden</t>
  </si>
  <si>
    <t>HTTP 200, latency &lt; 2000ms, array tiket tersusun valid</t>
  </si>
  <si>
    <t>200 OK, latency 8ms, struktur tiket insiden valid</t>
  </si>
  <si>
    <t>2026-10-21_Hari-10_final-dashboard_alerts-tickets.png</t>
  </si>
  <si>
    <t>TC-API-014</t>
  </si>
  <si>
    <t>Uji Konsistensi Respons Endpoint Aset Inventaris</t>
  </si>
  <si>
    <t>GET /api/assets</t>
  </si>
  <si>
    <t>1. Kirim GET request
2. Amati 12 atribut minimal aset</t>
  </si>
  <si>
    <t>HTTP 200, latency &lt; 2000ms, data inventaris lengkap</t>
  </si>
  <si>
    <t>200 OK, latency 19ms, 15 aset termuat dengan atribut standar</t>
  </si>
  <si>
    <t>2026-10-21_Hari-10_final-dashboard_devices-management.png</t>
  </si>
  <si>
    <t>TC-WF-016</t>
  </si>
  <si>
    <t>Audit Konsistensi Kalkulasi SLA &amp; Analitik AI</t>
  </si>
  <si>
    <t>Integrasi &amp; Logika</t>
  </si>
  <si>
    <t>Buka modul Laporan (#page-reports)</t>
  </si>
  <si>
    <t>1. Amati metrik ketersediaan SLA pada kartu AI vs ringkasan 30 hari</t>
  </si>
  <si>
    <t>Nilai SLA sinkron dan teragregasi dari data database</t>
  </si>
  <si>
    <t>Terdeteksi inkonsistensi (0.0% vs 99.3%), dicatat sebagai BUG-011</t>
  </si>
  <si>
    <t>2026-10-21_Hari-10_final-dashboard_reports-export.png</t>
  </si>
  <si>
    <t>Audit selesai, defect logged to BUG-011</t>
  </si>
  <si>
    <t>TC-WF-017</t>
  </si>
  <si>
    <t>Audit Integritas IP Address &amp; Pencegahan Duplikasi</t>
  </si>
  <si>
    <t>Integritas Data</t>
  </si>
  <si>
    <t>Buka tabel perangkat (#page-devices)</t>
  </si>
  <si>
    <t>1. Analisis seluruh alamat IP pada 15 perangkat terdaftar</t>
  </si>
  <si>
    <t>Alamat IP subnet unik tanpa ada tabrakan (IP conflict)</t>
  </si>
  <si>
    <t>Ditemukan duplikasi IP 192.168.1.1 dan 192.168.1.2, dicatat sebagai BUG-012</t>
  </si>
  <si>
    <t>Audit selesai, defect logged to BUG-012</t>
  </si>
  <si>
    <t>TC-WF-018</t>
  </si>
  <si>
    <t>Verifikasi Sinkronisasi Donut Chart Kategori &amp; Legenda</t>
  </si>
  <si>
    <t>Visual Data</t>
  </si>
  <si>
    <t>Buka dashboard utama (#page-dashboard)</t>
  </si>
  <si>
    <t>1. Amati total di pusat donut vs jumlah rincian legenda</t>
  </si>
  <si>
    <t>Jumlah rincian seluruh kategori persis sama dengan total (15 unit)</t>
  </si>
  <si>
    <t>Pusat 15 unit, rincian hanya 12 unit, dicatat sebagai BUG-013</t>
  </si>
  <si>
    <t>2026-10-21_Hari-10_final-dashboard_desktop-1080p.png</t>
  </si>
  <si>
    <t>Audit selesai, defect logged to BUG-013</t>
  </si>
  <si>
    <t>TC-WF-019</t>
  </si>
  <si>
    <t>Audit Penamaan Lokasi Standar Enterprise Teknolab</t>
  </si>
  <si>
    <t>Wording &amp; Brand</t>
  </si>
  <si>
    <t>P3</t>
  </si>
  <si>
    <t>Buka tab Laporan (#page-reports)</t>
  </si>
  <si>
    <t>1. Periksa penamaan lokasi pada ringkasan SLA</t>
  </si>
  <si>
    <t>Penamaan formal: 'Marketing Office (MO)'</t>
  </si>
  <si>
    <t>Tertulis informal 'Kost Kiki', dicatat sebagai BUG-017</t>
  </si>
  <si>
    <t>Audit selesai, defect logged to BUG-017</t>
  </si>
  <si>
    <t>TC-WF-020</t>
  </si>
  <si>
    <t>Validasi Jam Handover Shift 2 pada Banner Sistem</t>
  </si>
  <si>
    <t>Dokumentasi &amp; UI</t>
  </si>
  <si>
    <t>Buka modul Pengguna (#page-users)</t>
  </si>
  <si>
    <t>1. Periksa banner kondisi tim Shift 2</t>
  </si>
  <si>
    <t>Jam handover Shift 2: 00.30 - 01.00 WIB</t>
  </si>
  <si>
    <t>Tertulis jam Shift 1 (15.30 - 16.00 WIB), dicatat sebagai BUG-018</t>
  </si>
  <si>
    <t>2026-10-21_Hari-10_final-dashboard_users-rbac.png</t>
  </si>
  <si>
    <t>Audit selesai, defect logged to BUG-018</t>
  </si>
  <si>
    <t>TC-H14-001</t>
  </si>
  <si>
    <t>Dashboard</t>
  </si>
  <si>
    <t>Executive KPI Metrics &amp; Tren 30 Hari</t>
  </si>
  <si>
    <t>Functional / System Integration</t>
  </si>
  <si>
    <t>Backend server (port 3000) dan MySQL aktif, login Superadmin</t>
  </si>
  <si>
    <t>1. Akses dashboard utama T-AIMS.
2. Verifikasi 6 stat KPI (15 total, 0 connected, 15 disconnected, 0 warning, 3 locations, 0.0% SLA).
3. Periksa grafik tren 30 hari &amp; donut distribusi kategori aset.
4. Cek integrasi mini OSM map.</t>
  </si>
  <si>
    <t>Seluruh metrik KPI dashboard teragregasi otomatis dari API backend &amp; MariaDB tanpa data terpotong atau overflow layout.</t>
  </si>
  <si>
    <t>200 OK, Dashboard KPI terisi sinkron 15 perangkat, grafik tren 30 hari render mulus, peta OSM memuat 3 pin lokasi.</t>
  </si>
  <si>
    <t>2026-10-25_Hari-14_TC-H14-001_dashboard-executive-kpi.png</t>
  </si>
  <si>
    <t>25/10/2026</t>
  </si>
  <si>
    <t>v2.4-hotfix-prod</t>
  </si>
  <si>
    <t>Tampilan 100% identik dengan environment Zakwan (15 aset)</t>
  </si>
  <si>
    <t>TC-H14-002</t>
  </si>
  <si>
    <t>Devices</t>
  </si>
  <si>
    <t>5 Stat Cards &amp; Tabel Inventaris Perangkat</t>
  </si>
  <si>
    <t>Functional / UI Layout</t>
  </si>
  <si>
    <t>Halaman Manajemen Perangkat dibuka dengan database 15 aset</t>
  </si>
  <si>
    <t>1. Buka menu Perangkat.
2. Periksa 5 stat cards di bagian atas.
3. Verifikasi tabel memuat 15 baris aset lengkap dengan kolom No, Kode Aset, Nama, IP/MAC, Lokasi, PIC, Metode, Status, Aksi.</t>
  </si>
  <si>
    <t>5 Stat Cards sejajar proporsional memenuhi kontainer tanpa celah kosong; tabel memuat 15 unit aset lengkap dengan badge status konsisten.</t>
  </si>
  <si>
    <t>200 OK, 5 Stat Cards proporsional standar industri (15 Total, 0 Connected, 15 Disconnected, 0 Warning, 0 Unknown); tabel 15 aset presisi.</t>
  </si>
  <si>
    <t>2026-10-25_Hari-14_TC-H14-002_devices-management-inventory.png</t>
  </si>
  <si>
    <t>Menampilkan 15 perangkat aktif sesuai database MariaDB tanpa duplikasi</t>
  </si>
  <si>
    <t>TC-H14-003</t>
  </si>
  <si>
    <t>Modal Detail Spesifikasi Perangkat &amp; Telemetri MKRT-01</t>
  </si>
  <si>
    <t>Functional / Component</t>
  </si>
  <si>
    <t>Aset MKRT-01 (Mikrotik Marketing) terdaftar di tabel</t>
  </si>
  <si>
    <t>1. Klik ikon detail (mata) pada baris MKRT-01.
2. Periksa 12 parameter aset (kategori, IP 192.168.1.2, MAC, lokasi Marketing Office Lt 2, PIC, prioritas P2, konfigurasi JSON, uptime, histori status).
3. Uji tombol Uji Ping, Tutup, Cetak QR, Edit, Ubah Status.</t>
  </si>
  <si>
    <t>Modal detail perangkat terbuka sempurna dengan 12 parameter lengkap, metrik uptime, histori perubahan status, dan tombol aksi berfungsi normal.</t>
  </si>
  <si>
    <t>200 OK, Modal menampilkan detail Mikrotik Marketing lengkap tanpa cutoff pada tombol footer.</t>
  </si>
  <si>
    <t>2026-10-25_Hari-14_TC-H14-003_device-detail-modal-mkrt01.png</t>
  </si>
  <si>
    <t>Form modal responsif, footer tetap terlihat utuh di resolusi desktop</t>
  </si>
  <si>
    <t>TC-H14-004</t>
  </si>
  <si>
    <t>Modal Tambah Perangkat Baru Form 12 Field Wajib</t>
  </si>
  <si>
    <t>Functional / Form Validation</t>
  </si>
  <si>
    <t>Pengguna login sebagai Superadmin / Admin</t>
  </si>
  <si>
    <t>1. Klik tombol "+ Tambah Aset".
2. Periksa kelengkapan 12 field formulir (Kode Aset, Nama/Hostname, Kategori, IP, Lokasi/Site, Lantai, Metode, Prioritas, PIC, MAC, Status Keaktifan, Tanggal Instalasi, Deskripsi).
3. Verifikasi tombol Simpan &amp; Batal.</t>
  </si>
  <si>
    <t>Modal form tambah aset muncul dengan 12 atribut wajib berstandar enterprise Teknolab, input terproteksi validasi.</t>
  </si>
  <si>
    <t>200 OK, Form tambah aset lengkap 12 atribut, dropdown lokasi terhubung dengan 3 gedung operasional.</t>
  </si>
  <si>
    <t>2026-10-25_Hari-14_TC-H14-004_add-device-modal-form.png</t>
  </si>
  <si>
    <t>Modal rapi, auto-fill kode aset unik AST-ROU-016 siap pakai</t>
  </si>
  <si>
    <t>TC-H14-005</t>
  </si>
  <si>
    <t>Network</t>
  </si>
  <si>
    <t>Pusat Operasi Jaringan (NOC) &amp; Mesin Protokol</t>
  </si>
  <si>
    <t>Functional / Integration</t>
  </si>
  <si>
    <t>Backend port 3000 dan MySQL port 3306 online</t>
  </si>
  <si>
    <t>1. Akses menu Jaringan.
2. Verifikasi 6 kartu protokol (ICMP Ping, REST API Health Check 200 OK, TCP Port 3000/3306 Terhubung, MQTT Broker 1883, IoT Heartbeat, Router Inti).
3. Periksa grafik latensi real-time &amp; live console terminal.</t>
  </si>
  <si>
    <t>Seluruh protokol telemetri terpantau real-time, status API dan DB hijau terhubung, grafik latensi aktif.</t>
  </si>
  <si>
    <t>200 OK, Web &amp; REST API status "200 OK • Aktif", Service Port "3000 API • 3306 MySQL Terhubung", grafik latensi render stabil.</t>
  </si>
  <si>
    <t>2026-10-25_Hari-14_TC-H14-005_network-monitoring-protocol-engine.png</t>
  </si>
  <si>
    <t>Mesin monitoring v2.4 aktif dengan log inisialisasi pada terminal</t>
  </si>
  <si>
    <t>TC-H14-006</t>
  </si>
  <si>
    <t>Location</t>
  </si>
  <si>
    <t>Blueprint Denah 2D CAD - Site 1 Head Office (7 Aset)</t>
  </si>
  <si>
    <t>Functional / Blueprint CAD</t>
  </si>
  <si>
    <t>Menu Lokasi dibuka, tab "2D CAD" aktif, pilih "Head Office"</t>
  </si>
  <si>
    <t>1. Klik tab 2D CAD.
2. Pilih site "Head Office".
3. Verifikasi gambar blueprint CAD arsitektur HO termuat.
4. Periksa sebaran 7 pin sensor (ESP-01, RTR-01, PC-02, PC-01, SMTV-01, RPI-01, CCTV-01).
5. Cek panel rincian zona (Workstation 3 aset, Jaringan 3 aset, Gerbang 1 aset).</t>
  </si>
  <si>
    <t>Denah 2D CAD Head Office tampil presisi dengan 7 pin sensor terdistribusi sesuai ruangan dan panel zona terkalibrasi.</t>
  </si>
  <si>
    <t>200 OK, Blueprint 2D HO render akurat, 7 pin sensor terpasang interaktif dengan koordinat sesuai tata letak ruangan.</t>
  </si>
  <si>
    <t>2026-10-25_Hari-14_TC-H14-006_blueprint-ho-2d-cad.png</t>
  </si>
  <si>
    <t>Pin sensor responsif terhadap hover dan klik untuk manajemen titik</t>
  </si>
  <si>
    <t>TC-H14-007</t>
  </si>
  <si>
    <t>Blueprint Denah 2D CAD - Site 2 Marketing Office (4 Aset)</t>
  </si>
  <si>
    <t>Menu Lokasi dibuka, tab "2D CAD" aktif, pilih "Marketing Office"</t>
  </si>
  <si>
    <t>1. Klik tombol site "Marketing Office".
2. Verifikasi denah CAD kantor cabang termuat.
3. Periksa 4 pin sensor (MKRT-01, RTR-03, RTR-02, CCTV-02).
4. Cek panel zona Routing &amp; Gateway (3 aset) dan Pengawasan Keamanan MO (1 aset).</t>
  </si>
  <si>
    <t>Denah 2D CAD Marketing Office memuat 4 pin perangkat lengkap dengan rincian routing dan CCTV.</t>
  </si>
  <si>
    <t>200 OK, Blueprint 2D MO memuat 4 pin aset presisi di dinding &amp; pintu masuk, panel samping tersinkronisasi.</t>
  </si>
  <si>
    <t>2026-10-25_Hari-14_TC-H14-007_blueprint-mo-2d-cad.png</t>
  </si>
  <si>
    <t>Transisi pemilihan denah antar site berjalan mulus tanpa re-render error</t>
  </si>
  <si>
    <t>TC-H14-008</t>
  </si>
  <si>
    <t>Blueprint Denah 2D CAD - Site 3 House of Server (4 Aset)</t>
  </si>
  <si>
    <t>Menu Lokasi dibuka, tab "2D CAD" aktif, pilih "House of Server"</t>
  </si>
  <si>
    <t>1. Klik tombol site "House Of Server".
2. Verifikasi gambar blueprint CAD ruang server termuat.
3. Periksa 4 pin sensor server core (SWM-01, RPI-02, MKRT-02, SRV-01).
4. Cek panel Core Server Rack &amp; Backbone (4 aset).</t>
  </si>
  <si>
    <t>Denah 2D CAD House of Server menampilkan ruangan server utama dengan 4 pin rak server terkalibrasi rapi.</t>
  </si>
  <si>
    <t>200 OK, Blueprint 2D HoS memuat 4 titik perangkat server inti, label rak dan panel backbone sinkron.</t>
  </si>
  <si>
    <t>2026-10-25_Hari-14_TC-H14-008_blueprint-hos-2d-cad.png</t>
  </si>
  <si>
    <t>Menampilkan struktur dinding server dan jalur kabel backbone</t>
  </si>
  <si>
    <t>TC-H14-009</t>
  </si>
  <si>
    <t>3D Digital Twin Three.js - Site 1 Head Office (7 Aset)</t>
  </si>
  <si>
    <t>Functional / 3D Graphics</t>
  </si>
  <si>
    <t>Tab "3D Digital Twin" aktif, tombol "Head Office" dipilih</t>
  </si>
  <si>
    <t>1. Aktifkan mode 3D Digital Twin.
2. Arahkan viewport ke Site 1 Head Office.
3. Verifikasi rendering model 3D Three.js, pencahayaan isometric, dan 7 pin sensor (ESP-01, RTR-01, PC-02, PC-01, SMTV-01, RPI-01, CCTV-01).
4. Uji kontrol kamera dan navigasi.</t>
  </si>
  <si>
    <t>Model 3D Digital Twin Head Office me-render gedung dan ruangan bertingkat dengan 7 pin floating 3D terkalibrasi.</t>
  </si>
  <si>
    <t>200 OK, Lingkungan 3D isometric Three.js berjalan lancar 60 FPS, 7 sensor pin terapung presisi di koordinat ruang HO.</t>
  </si>
  <si>
    <t>2026-10-25_Hari-14_TC-H14-009_digitaltwin-ho-3d-model.png</t>
  </si>
  <si>
    <t>Jalinan konektivitas antar-gedung digambarkan dengan garis telemetri bersinar</t>
  </si>
  <si>
    <t>TC-H14-010</t>
  </si>
  <si>
    <t>3D Digital Twin Three.js - Site 2 Marketing Office (4 Aset)</t>
  </si>
  <si>
    <t>Tab "3D Digital Twin" aktif, viewport diarahkan ke Marketing Office</t>
  </si>
  <si>
    <t>1. Klik site "Marketing Office" pada navigasi 3D.
2. Verifikasi gedung Site 02 • Marketing Office ter-render dengan label nama gedung.
3. Periksa 4 pin sensor 3D (CCTV-02, RTR-02, RTR-03, MKRT-01).
4. Uji rotasi dan penyesuaian sudut pandang.</t>
  </si>
  <si>
    <t>Gedung 3D Marketing Office tampil utuh dengan label gedung dan 4 pin sensor telemetri terapung stabil.</t>
  </si>
  <si>
    <t>200 OK, Visual 3D Marketing Office render presisi, label SITE 02 aktif, 4 pin sensor terpasang pada dinding gedung.</t>
  </si>
  <si>
    <t>2026-10-25_Hari-14_TC-H14-010_digitaltwin-mo-3d-model.png</t>
  </si>
  <si>
    <t>Garis telemetri menghubungkan MO ke House of Server dan HO secara dinamis</t>
  </si>
  <si>
    <t>TC-H14-011</t>
  </si>
  <si>
    <t>3D Digital Twin Three.js - Site 3 House of Server (4 Aset)</t>
  </si>
  <si>
    <t>Tab "3D Digital Twin" aktif, viewport diarahkan ke House of Server</t>
  </si>
  <si>
    <t>1. Klik site "House of Server" pada navigasi 3D.
2. Verifikasi gedung Site 03 • Central Data Center Tier-2 ter-render.
3. Periksa 4 pin sensor rak server (SWM-01, RPI-02, MKRT-02, SRV-01).
4. Uji toggle atap gedung (Pasang Atap / Buka Atap).</t>
  </si>
  <si>
    <t>Model 3D Data Center Tier-2 render sempurna dengan 4 pin server core terpasang di barisan rak server.</t>
  </si>
  <si>
    <t>200 OK, Visual 3D Tier-2 Data Center render dengan 4 pin rak backbone, visualisasi interior terlihat jelas.</t>
  </si>
  <si>
    <t>2026-10-25_Hari-14_TC-H14-011_digitaltwin-hos-3d-model.png</t>
  </si>
  <si>
    <t>Label Central Data Center Tier-2 dan SITE 03 • HOUSE OF SERVER teridentifikasi jelas</t>
  </si>
  <si>
    <t>TC-H14-012</t>
  </si>
  <si>
    <t>Modal Ubah Titik Perangkat &amp; Kalibrasi Koordinat Sensor</t>
  </si>
  <si>
    <t>Functional / Interactive Calibration</t>
  </si>
  <si>
    <t>Mode Kelola Titik aktif, pin ESP-01 diklik</t>
  </si>
  <si>
    <t>1. Klik tombol "Kelola Titik Sensor" pada denah.
2. Klik salah satu pin (ESP-01).
3. Verifikasi modal "Ubah Titik Perangkat: ESP-01" terbuka.
4. Cek field Gedung/Site, Dropdown Pilihan Aset, Label Pin, Koordinat X (%) &amp; Y (%).
5. Cek tombol Tentukan Posisi Baru, Hapus dari Denah, Batal, Simpan Titik.</t>
  </si>
  <si>
    <t>Modal kalibrasi titik terbuka dengan koordinat X/Y yang akurat, memungkinkan pemindahan titik dan penyimpanan ke database.</t>
  </si>
  <si>
    <t>200 OK, Modal Ubah Titik ESP-01 menampilkan nilai X=42%, Y=38.7% dan seluruh kontrol kalibrasi berfungsi normal.</t>
  </si>
  <si>
    <t>2026-10-25_Hari-14_TC-H14-012_sensor-point-calibrate-modal.png</t>
  </si>
  <si>
    <t>Fitur kalibrasi titik visual mempermudah pemetaan presisi hardware di lapangan</t>
  </si>
  <si>
    <t>TC-H14-013</t>
  </si>
  <si>
    <t>Alerts</t>
  </si>
  <si>
    <t>Multi-Channel Alert Gateway (n8n, SMTP, Telegram)</t>
  </si>
  <si>
    <t>Menu Peringatan dibuka</t>
  </si>
  <si>
    <t>1. Buka menu Peringatan.
2. Verifikasi 4 KPI insiden di atas (Open 0, Under Investigation 0, Resolved 0, Dispatched 5 Sent).
3. Periksa 3 kartu gateway sejajar (n8n Automation Webhook, SMTP Email Dispatcher, Telegram Alert Gateway) beserta status cooldown debounce 5 menit.
4. Uji tombol Uji Kirim Telegram &amp; Unduh CSV Insiden.</t>
  </si>
  <si>
    <t>4 KPI insiden dan 3 kartu alert gateway berjejer proporsional 1 baris, tombol aksi pengujian notifikasi aktif.</t>
  </si>
  <si>
    <t>200 OK, Gateway n8n, SMTP, Telegram berjejer rapi dalam status Standby, counter 5 Sent terverifikasi.</t>
  </si>
  <si>
    <t>2026-10-25_Hari-14_TC-H14-013_alerts-multichannel-gateways.png</t>
  </si>
  <si>
    <t>Mekanisme anti-spam debounce 5 menit aktif melindungi gateway dari alert flood</t>
  </si>
  <si>
    <t>TC-H14-014</t>
  </si>
  <si>
    <t>Riwayat Notifikasi Real-time &amp; Feed Log Insiden</t>
  </si>
  <si>
    <t>Functional / Data Integrity</t>
  </si>
  <si>
    <t>Telah terjadi event perubahan tata letak atau pembaruan status perangkat</t>
  </si>
  <si>
    <t>1. Periksa bagian Riwayat Notifikasi Terputus &amp; Pemulihan Terkirim pada menu Peringatan.
2. Verifikasi entri riwayat mencatat timestamp (WIB), deskripsi event tata letak denah (CCTV-01, SMTV-01), lokasi denah, dan badge severity.</t>
  </si>
  <si>
    <t>Seluruh event monitoring dan perubahan denah ter-logging secara kronologis dengan timestamp WIB dan badge severity.</t>
  </si>
  <si>
    <t>200 OK, Feed riwayat menampilkan 5 log mutakhir tata letak denah CCTV-01 &amp; SMTV-01 dengan timestamp 20:40 &amp; 22:51 WIB.</t>
  </si>
  <si>
    <t>2026-10-25_Hari-14_TC-H14-014_alerts-incident-notification-feed.png</t>
  </si>
  <si>
    <t>Log real-time tersimpan presisi dan memudahkan audit trail operator NOC</t>
  </si>
  <si>
    <t>TC-H14-015</t>
  </si>
  <si>
    <t>Reports</t>
  </si>
  <si>
    <t>Laporan Analitik SLA, Diagnostik AI &amp; Ekspor Dokumen</t>
  </si>
  <si>
    <t>Functional / Reporting &amp; AI</t>
  </si>
  <si>
    <t>Menu Laporan dibuka</t>
  </si>
  <si>
    <t>1. Buka menu Laporan.
2. Verifikasi widget Asisten AI Teknolab (Analisis Baru, Salin, Riwayat, Telegram).
3. Periksa kalkulasi metrik SLA (Total 15, Online 0, Offline 15, Availability 0.0%).
4. Cek 4 kartu rekomendasi diagnostik AI.
5. Periksa ketersediaan tombol Unduh PDF, Excel / CSV, dan Cetak.</t>
  </si>
  <si>
    <t>Laporan SLA bulanan dan modul rekomendasi AI ter-render lengkap dengan opsi cetak dan unduh format PDF/Excel.</t>
  </si>
  <si>
    <t>200 OK, Mesin analisis AI menghasilkan rekomendasi diagnostik router, IoT, CCTV, dan server; tombol ekspor PDF &amp; Print berfungsi.</t>
  </si>
  <si>
    <t>2026-10-25_Hari-14_TC-H14-015_reports-sla-analytics-ai-assistant.png</t>
  </si>
  <si>
    <t>Menampilkan ringkasan SLA 30 hari riil dan korelasi log MySQL</t>
  </si>
  <si>
    <t>TC-H14-016</t>
  </si>
  <si>
    <t>Manajemen Pengguna RBAC &amp; Matriks Hak Akses Tim (11 User)</t>
  </si>
  <si>
    <t>Functional / Security RBAC</t>
  </si>
  <si>
    <t>Login sebagai Dzakwan Miftahussobirin (Superadmin)</t>
  </si>
  <si>
    <t>1. Buka menu Pengguna.
2. Verifikasi banner "Kondisi Tim • T-AIMS Teknolab" (Kekuatan 11 Peserta, Handover 00.30 - 01.00 WIB, Jam Operasional realtime).
3. Periksa tabel memuat 11 akun anggota tim lengkap dengan Peran RBAC (Superadmin CRUD vs Admin CRU), PIC, dan status aktif.</t>
  </si>
  <si>
    <t>Tabel pengguna menampilkan 11 akun tim terdaftar dengan proteksi RBAC; akun Superadmin memiliki hak akses CRUD penuh.</t>
  </si>
  <si>
    <t>200 OK, Tabel pengguna memuat 11 personel tim Shift 2 termasuk Reza Tri Wardana (Lead QA) dengan hak akses valid.</t>
  </si>
  <si>
    <t>2026-10-25_Hari-14_TC-H14-016_users-management-rbac-matrix.png</t>
  </si>
  <si>
    <t>Banner sinkron dengan Shift 2 dan jam operasional real-time WIB</t>
  </si>
  <si>
    <t>ID BUG</t>
  </si>
  <si>
    <t>TANGGAL</t>
  </si>
  <si>
    <t>DESKRIPSI MASALAH</t>
  </si>
  <si>
    <t>MODUL</t>
  </si>
  <si>
    <t>SEVERITY</t>
  </si>
  <si>
    <t>PIC</t>
  </si>
  <si>
    <t>STATUS</t>
  </si>
  <si>
    <t>TGL CLOSED</t>
  </si>
  <si>
    <t>BUKTI SCREENSHOT</t>
  </si>
  <si>
    <t>POST /auth/change-password 404 Endpoint tidak ditemukan</t>
  </si>
  <si>
    <t>Ahmad Reza</t>
  </si>
  <si>
    <t>Verified</t>
  </si>
  <si>
    <t>14/10/2026</t>
  </si>
  <si>
    <t>GET /users/1 500 Internal Server Error</t>
  </si>
  <si>
    <t>GET /auth/me 500 - Unknown column 'created_at'</t>
  </si>
  <si>
    <t>GET /users 500 - Unknown column 'created_at'</t>
  </si>
  <si>
    <t>BUG-005</t>
  </si>
  <si>
    <t>18/10/2026</t>
  </si>
  <si>
    <t>File ZIP frontend corrupt, UI tidak bisa diuji</t>
  </si>
  <si>
    <t>Frontend</t>
  </si>
  <si>
    <t>Dika</t>
  </si>
  <si>
    <t>19/10/2026</t>
  </si>
  <si>
    <t>2026-10-18_BUG-005_zip-corrupt.png</t>
  </si>
  <si>
    <t>BUG-006</t>
  </si>
  <si>
    <t>Domain email DEFAULT_AUTH salah (@taims.local bukan @taims_db.local) 401 fallback</t>
  </si>
  <si>
    <t xml:space="preserve">Dika </t>
  </si>
  <si>
    <t>2026-10-19_Hari-7_modul_portal-login.png</t>
  </si>
  <si>
    <t>Angka dan persentase Donut Chart bertabrakan tanpa spasi ("212.5%")</t>
  </si>
  <si>
    <t>2026-10-19_Hari-7_modul_dashboard-utama.png</t>
  </si>
  <si>
    <t>BUG-008</t>
  </si>
  <si>
    <t>Sub-label Uptime statis selalu hijau "Operasional Stabil"</t>
  </si>
  <si>
    <t>Modal detail perangkat memaksa kelas CSS offline untuk status unknown/warning</t>
  </si>
  <si>
    <t>2026-10-19_Hari-7_modul_modal-detail-perangkat.png</t>
  </si>
  <si>
    <t>BUG-010</t>
  </si>
  <si>
    <t>Kontras warna redup (--text-dim: #64748B) dan font mikroskopis (8.5px - 9.5px)</t>
  </si>
  <si>
    <t>Severity: Critical (sistem mati) | High (fitur utama error) | Medium (fitur minor) | Low (kosmetik)</t>
  </si>
  <si>
    <t>Status: Open | Fixing | Testing | Closed | Verified</t>
  </si>
  <si>
    <t>ID Bug</t>
  </si>
  <si>
    <t>Judul</t>
  </si>
  <si>
    <t>Dilaporkan oleh</t>
  </si>
  <si>
    <t>Tanggal</t>
  </si>
  <si>
    <t>Priority</t>
  </si>
  <si>
    <t>Environment</t>
  </si>
  <si>
    <t>Langkah Reproduksi</t>
  </si>
  <si>
    <t>Bukti Screenshot</t>
  </si>
  <si>
    <t>Dampak</t>
  </si>
  <si>
    <t>PIC Perbaikan</t>
  </si>
  <si>
    <t>Verified oleh</t>
  </si>
  <si>
    <t>Tanggal Verifikasi</t>
  </si>
  <si>
    <t>Catatan Verifikasi</t>
  </si>
  <si>
    <t>POST /auth/change-password 404</t>
  </si>
  <si>
    <t>Dev</t>
  </si>
  <si>
    <t>1. POST /auth/change-password 2. Body old+new 3. Amati response</t>
  </si>
  <si>
    <t>200 OK</t>
  </si>
  <si>
    <t>User tidak bisa ganti 
password</t>
  </si>
  <si>
    <t>screenshots/BUG-001.png</t>
  </si>
  <si>
    <t>Fixed &amp; verified</t>
  </si>
  <si>
    <t>GET /users/1 500</t>
  </si>
  <si>
    <t>Detail user tidak bisa 
diakses</t>
  </si>
  <si>
    <t>screenshots/BUG-002.png</t>
  </si>
  <si>
    <t>Fixed setelah created_at 
ditambah</t>
  </si>
  <si>
    <t>GET /auth/me 500 created_at</t>
  </si>
  <si>
    <t>1. GET /auth/me 
2. Bearer token 
3. Amati response</t>
  </si>
  <si>
    <t>User tidak bisa akses profil</t>
  </si>
  <si>
    <t>screenshots/BUG-003.png</t>
  </si>
  <si>
    <t>Fixed setelah created_at ditambah</t>
  </si>
  <si>
    <t>GET /users 500 created_at</t>
  </si>
  <si>
    <t>1. GET /users 
2. Bearer token 
3. Amati response</t>
  </si>
  <si>
    <t>List user tidak bisa diakses</t>
  </si>
  <si>
    <t>screenshots/BUG-004.png</t>
  </si>
  <si>
    <t>1. Download ZIP 2. Extract pakai 7-Zip</t>
  </si>
  <si>
    <t>ZIP extract sukses</t>
  </si>
  <si>
    <t>Headers error corrupt</t>
  </si>
  <si>
    <t>Pengujian UI tertunda</t>
  </si>
  <si>
    <t>screenshots/BUG-005.png</t>
  </si>
  <si>
    <t>Resolved setelah file 
revised dikirim</t>
  </si>
  <si>
    <t>Domain email DEFAULT_AUTH salah 401 Unauthorized</t>
  </si>
  <si>
    <t>1. Buka dashboard 2. Cek response login di console</t>
  </si>
  <si>
    <t>200 OK JWT Token</t>
  </si>
  <si>
    <t>Data online 0 &amp; fallback</t>
  </si>
  <si>
    <t>screenshots/Hari-7/2026-10-19_Hari-7_modul_dashboard-utama.png</t>
  </si>
  <si>
    <t>Fixed domain 
@taims_db.local</t>
  </si>
  <si>
    <t>Angka dan persentase Donut Chart bertabrakan ('212.5%')</t>
  </si>
  <si>
    <t>1. Buka dashboard 2. Lihat legenda Donut Chart</t>
  </si>
  <si>
    <t>Angka dan persen terpisah</t>
  </si>
  <si>
    <t>Teks menempel 212.5%</t>
  </si>
  <si>
    <t>Klien salah paham data</t>
  </si>
  <si>
    <t>screenshots/Hari-8/2026-10-20_Hari-8_wireframe_donut-chart-clean.png</t>
  </si>
  <si>
    <t>Fixed flex gap 8px &amp; badge 
pill</t>
  </si>
  <si>
    <t>Sub-label Uptime statis selalu hijau 'Operasional Stabil'</t>
  </si>
  <si>
    <t>1. Buka dashboard 2. Amati kartu uptime 35%</t>
  </si>
  <si>
    <t>Status berubah kuning/merah</t>
  </si>
  <si>
    <t>Tetap hijau stabil</t>
  </si>
  <si>
    <t>Telemetri menyesatkan</t>
  </si>
  <si>
    <t>screenshots/Hari-8/2026-10-20_Hari-8_wireframe_desktop-dashboard-1080p.png</t>
  </si>
  <si>
    <t>Fixed threshold 
dinamis di app.js</t>
  </si>
  <si>
    <t>Modal detail salah warna badge offline untuk unknown</t>
  </si>
  <si>
    <t>1. Buka devices.html 2. Klik detail aset unknown</t>
  </si>
  <si>
    <t>Badge kuning warning</t>
  </si>
  <si>
    <t>Badge merah offline</t>
  </si>
  <si>
    <t>Visual status tidak konsisten</t>
  </si>
  <si>
    <t>screenshots/Hari-8/2026-10-20_Hari-8_wireframe_modal-detail-spec.png</t>
  </si>
  <si>
    <t>Fixed class warning di 
openDetailModal</t>
  </si>
  <si>
    <t>Kontras rendah &amp; font mikroskopis (8.5px - 9.5px)</t>
  </si>
  <si>
    <t>1. Buka dashboard di monitor standar 2. Baca sublabel</t>
  </si>
  <si>
    <t>Teks terbaca jelas (WCAG AA)</t>
  </si>
  <si>
    <t>Teks buram &amp; sangat kecil</t>
  </si>
  <si>
    <t>Mata lelah &amp; sulit dibaca</t>
  </si>
  <si>
    <t>screenshots/Hari-8/2026-10-20_Hari-8_wireframe_settings-permanen.png</t>
  </si>
  <si>
    <t>Fixed text-dim #94A3B8 
&amp; font 11-12px</t>
  </si>
  <si>
    <t>BUG-011</t>
  </si>
  <si>
    <t>Inkonsistensi Nilai Kalkulasi SLA Antara Kartu AI dan Ringkasan Bulanan</t>
  </si>
  <si>
    <t>Staging/Web</t>
  </si>
  <si>
    <t>build-20261021</t>
  </si>
  <si>
    <t>1. Buka modul Laporan (#page-reports)
2. Bandingkan kartu SLA atas vs bawah</t>
  </si>
  <si>
    <t>Nilai SLA konsisten dari database monitoring_logs</t>
  </si>
  <si>
    <t>Kartu AI 0.0%, sedangkan Ringkasan 30 Hari tertulis 99.3%</t>
  </si>
  <si>
    <t>Membingungkan stakeholder dan laporan performa sistem</t>
  </si>
  <si>
    <t>screenshots/Hari-10/2026-10-21_Hari-10_final-dashboard_reports-export.png</t>
  </si>
  <si>
    <t>Fixed &amp; Verified (SLA 30 hari sinkron 99.1% Target Achieved, kartu AI real-time health 0.0% standby)</t>
  </si>
  <si>
    <t>BUG-012</t>
  </si>
  <si>
    <t>Duplikasi Alamat IP pada Registri Aset Jaringan (IP Conflict)</t>
  </si>
  <si>
    <t>1. Buka modul Inventaris Perangkat (#page-devices)
2. Periksa kolom IP Address</t>
  </si>
  <si>
    <t>Setiap perangkat memiliki alamat IP unik</t>
  </si>
  <si>
    <t>192.168.1.1 dipakai 2 router, 192.168.1.2 dipakai PC &amp; Mikrotik</t>
  </si>
  <si>
    <t>Monitoring engine tidak dapat membedakan status device saat ping</t>
  </si>
  <si>
    <t>screenshots/Hari-10/2026-10-21_Hari-10_final-dashboard_devices-management.png</t>
  </si>
  <si>
    <t>Fixed &amp; Verified (15 aset memiliki IP unik tanpa duplikasi subnet)</t>
  </si>
  <si>
    <t>BUG-013</t>
  </si>
  <si>
    <t>Selisih Jumlah Unit Total Donut Chart vs Rincian Legenda</t>
  </si>
  <si>
    <t>1. Buka dashboard utama (#page-dashboard)
2. Hitung total unit di rincian legenda</t>
  </si>
  <si>
    <t>Total legenda sama dengan label tengah (15 unit)</t>
  </si>
  <si>
    <t>Pusat 15, tetapi jumlah rincian hanya 12 unit (3 unit hilang)</t>
  </si>
  <si>
    <t>Data visualisasi kategori tidak akurat</t>
  </si>
  <si>
    <t>screenshots/Hari-10/2026-10-21_Hari-10_final-dashboard_desktop-1080p.png</t>
  </si>
  <si>
    <t>Fixed &amp; Verified (Donut chart tepat 15 unit terdistribusi di 8 kategori aset)</t>
  </si>
  <si>
    <t>BUG-014</t>
  </si>
  <si>
    <t>Pemotongan Teks (Text Clipping) pada Kolom Last Seen Tabel Dashboard</t>
  </si>
  <si>
    <t>1. Amati tabel Status Perangkat Terbaru di dashboard
2. Periksa teks Last Seen</t>
  </si>
  <si>
    <t>Teks lengkap terbaca 'Menunggu Koneksi Fisik'</t>
  </si>
  <si>
    <t>Teks terpotong menjadi 'Menunggu l'</t>
  </si>
  <si>
    <t>Mengurangi estetika dan keterbacaan tabel status</t>
  </si>
  <si>
    <t>Fixed &amp; Verified (Kolom Last Seen diberi min-width 155px nowrap, teks utuh tanpa clipping)</t>
  </si>
  <si>
    <t>BUG-015</t>
  </si>
  <si>
    <t>Tumpukan Banner Toast Menutupi Kartu Pemeliharaan dan Kontrol Bawah</t>
  </si>
  <si>
    <t>Global UI</t>
  </si>
  <si>
    <t>1. Buka dashboard atau devices
2. Amati toast 'Mode Live Update (5s)' di pojok kanan bawah</t>
  </si>
  <si>
    <t>Toast tidak menutupi kartu konten atau tombol pagination</t>
  </si>
  <si>
    <t>Toast menutupi kartu 'Selesai Minggu Ini' dan tombol aksi bawah</t>
  </si>
  <si>
    <t>User tidak dapat melihat status pemeliharaan ke-4</t>
  </si>
  <si>
    <t>Fixed &amp; Verified (Main content diberi padding-bottom 75px, kartu pemeliharaan bebas tertutup toast)</t>
  </si>
  <si>
    <t>BUG-016</t>
  </si>
  <si>
    <t>Lebar Bar Sparkline Disconnected Devices Tidak Sinkron dengan Persentase</t>
  </si>
  <si>
    <t>1. Amati KPI Card 3 Disconnected Devices di dashboard</t>
  </si>
  <si>
    <t>Lebar bar merah sparkline 100% mengikuti teks persentase</t>
  </si>
  <si>
    <t>Teks 100.0% tetapi bar sparkline hanya terisi 10% (statis)</t>
  </si>
  <si>
    <t>Visual bar sparkline tidak sinkron dengan data riil</t>
  </si>
  <si>
    <t>Fixed &amp; Verified (Sparkline disconnected terhubung dinamis ke persentase 100% full bar merah)</t>
  </si>
  <si>
    <t>BUG-017</t>
  </si>
  <si>
    <t>Penamaan Lokasi Informal pada Laporan SLA ('Kost Kiki')</t>
  </si>
  <si>
    <t>1. Buka modul Laporan (#page-reports)
2. Periksa tabel SLA Summary</t>
  </si>
  <si>
    <t>Penamaan resmi korporat 'Marketing Office (MO)'</t>
  </si>
  <si>
    <t>Tertulis 'Kantor Pemasaran (Kost Kiki)'</t>
  </si>
  <si>
    <t>Kurang profesional untuk dokumen laporan resmi Teknolab</t>
  </si>
  <si>
    <t>Fixed &amp; Verified (Laporan SLA distandarisasi resmi menjadi Marketing Office (MO))</t>
  </si>
  <si>
    <t>BUG-018</t>
  </si>
  <si>
    <t>Kesalahan Jam Handover Shift 2 pada Banner Pengguna</t>
  </si>
  <si>
    <t>1. Buka modul Pengguna (#page-users)
2. Periksa kartu status tim Shift 2</t>
  </si>
  <si>
    <t>Handover Shift 2: 00.30 - 01.00 WIB</t>
  </si>
  <si>
    <t>Tertulis Handover: 15.30 - 16.00 WIB (jam Shift 1)</t>
  </si>
  <si>
    <t>Inakurasi jadwal operasional shift kerja di UI</t>
  </si>
  <si>
    <t>screenshots/Hari-10/2026-10-21_Hari-10_final-dashboard_users-rbac.png</t>
  </si>
  <si>
    <t>Fixed &amp; Verified (Banner pengguna diperbarui resmi menjadi Handover: 00.30 - 01.00 WIB)</t>
  </si>
  <si>
    <t>Hari ke-</t>
  </si>
  <si>
    <t>Shift</t>
  </si>
  <si>
    <t>Total TC</t>
  </si>
  <si>
    <t>BLOCKED</t>
  </si>
  <si>
    <t>SKIP</t>
  </si>
  <si>
    <t>Bug Baru</t>
  </si>
  <si>
    <t>Bug Verified</t>
  </si>
  <si>
    <t>Link Test Report</t>
  </si>
  <si>
    <t>Shift 2</t>
  </si>
  <si>
    <t>Setup QA &amp; Docs, blocker backend</t>
  </si>
  <si>
    <t>Susun test case tambahan</t>
  </si>
  <si>
    <t>Validasi test case dengan Damar</t>
  </si>
  <si>
    <t>Review acceptance criteria</t>
  </si>
  <si>
    <t>Review architecture</t>
  </si>
  <si>
    <t>Uji schema database</t>
  </si>
  <si>
    <t>Resolusi domain auto-login &amp; bug UI frontend</t>
  </si>
  <si>
    <t>test-reports/2026-10-19_Hari-7.md</t>
  </si>
  <si>
    <t>Pengujian UI Wireframe, Responsivitas &amp; RBAC</t>
  </si>
  <si>
    <t>API validation</t>
  </si>
  <si>
    <t>Smoke test MVP</t>
  </si>
  <si>
    <t>Monitoring engine</t>
  </si>
  <si>
    <t>Retry logic</t>
  </si>
  <si>
    <t>Heartbeat normal</t>
  </si>
  <si>
    <t>Verifikasi Menyeluruh 16 Modul &amp; Denah 2D/3D T-AIMS Standar Industri</t>
  </si>
  <si>
    <t>test-reports/2026-10-25_Hari-14.md</t>
  </si>
  <si>
    <t>Pengujian Loading/Error State, Resiliensi &amp; Audit Kesiapan Pre-Deploy CloudPanel</t>
  </si>
  <si>
    <t>test-reports/2026-10-26_Hari-15.md</t>
  </si>
  <si>
    <t>27/10/2026</t>
  </si>
  <si>
    <t>28/10/2026</t>
  </si>
  <si>
    <t>Detail device</t>
  </si>
  <si>
    <t>test-reports/2026-10-27_Hari-17.md</t>
  </si>
  <si>
    <t>29/10/2026</t>
  </si>
  <si>
    <t>History</t>
  </si>
  <si>
    <t>test-reports/2026-10-28_Hari-18.md</t>
  </si>
  <si>
    <t>30/10/2026</t>
  </si>
  <si>
    <t>Uptime/downtime</t>
  </si>
  <si>
    <t>test-reports/2026-10-29_Hari-19.md</t>
  </si>
  <si>
    <t>31/10/2026</t>
  </si>
  <si>
    <t>MVP release</t>
  </si>
  <si>
    <t>test-reports/2026-10-30_Hari-20.md</t>
  </si>
  <si>
    <t>Offline alert</t>
  </si>
  <si>
    <t>test-reports/2026-10-31_Hari-21.md</t>
  </si>
  <si>
    <t>Recovery alert</t>
  </si>
  <si>
    <t>test-reports/2026-11-01_Hari-22.md</t>
  </si>
  <si>
    <t>Map/location</t>
  </si>
  <si>
    <t>test-reports/2026-11-02_Hari-23.md</t>
  </si>
  <si>
    <t>AI automation</t>
  </si>
  <si>
    <t>test-reports/2026-11-03_Hari-24.md</t>
  </si>
  <si>
    <t>Reporting</t>
  </si>
  <si>
    <t>test-reports/2026-11-04_Hari-25.md</t>
  </si>
  <si>
    <t>Security test</t>
  </si>
  <si>
    <t>test-reports/2026-11-05_Hari-26.md</t>
  </si>
  <si>
    <t>Failure simulation</t>
  </si>
  <si>
    <t>test-reports/2026-11-06_Hari-27.md</t>
  </si>
  <si>
    <t>Regression test</t>
  </si>
  <si>
    <t>test-reports/2026-11-07_Hari-28.md</t>
  </si>
  <si>
    <t>Dokumentasi</t>
  </si>
  <si>
    <t>test-reports/2026-11-08_Hari-29.md</t>
  </si>
  <si>
    <t>Final demo</t>
  </si>
  <si>
    <t>test-reports/2026-11-09_Hari-30.md</t>
  </si>
  <si>
    <t>% Progress</t>
  </si>
  <si>
    <t>Device Monitoring</t>
  </si>
  <si>
    <t>Last Seen</t>
  </si>
  <si>
    <t>Response Time</t>
  </si>
  <si>
    <t>Monitoring History</t>
  </si>
  <si>
    <t>Uptime / Downtime</t>
  </si>
  <si>
    <t>Notification</t>
  </si>
  <si>
    <t>User Management</t>
  </si>
  <si>
    <t>AI Automation</t>
  </si>
  <si>
    <t>TOTAL</t>
  </si>
  <si>
    <t>Dashboard Executive</t>
  </si>
  <si>
    <t>Visualisasi KPI Executive, Donut Chart Kategori &amp; Peta Sebaran 3 Lokasi</t>
  </si>
  <si>
    <t>Functional &amp; UI Validation</t>
  </si>
  <si>
    <t>Dashboard aktif, backend port 3000, database 15 aset</t>
  </si>
  <si>
    <t>1. Buka dashboard (#page-dashboard).
2. Verifikasi 6 kartu KPI (15 devices, 5 online, 10 offline).
3. Cek donut chart &amp; peta 3 titik lokasi.</t>
  </si>
  <si>
    <t>Seluruh 6 KPI cards, donut chart, grafik tren real-time, dan peta satelit ter-render utuh dan presisi.</t>
  </si>
  <si>
    <t>200 OK, Seluruh 6 KPI cards, donut chart distribusi 15 aset, tren status live, dan peta lokasi infrastruktur ter-render sempurna.</t>
  </si>
  <si>
    <t>2026-10-26_Hari-15_TC-H15-001_dashboard-executive-kpi.png</t>
  </si>
  <si>
    <t>v2.5-final-dashboard-audit</t>
  </si>
  <si>
    <t>Verifikasi visual dashboard tuntas; 15 perangkat termuat dengan data status riil.</t>
  </si>
  <si>
    <t>Devices Management</t>
  </si>
  <si>
    <t>Inventarisasi Aset &amp; Pemantauan Tabel Telemetri Perangkat Lengkap</t>
  </si>
  <si>
    <t>Functional &amp; Data Integrity</t>
  </si>
  <si>
    <t>Akses menu perangkat (#page-devices)</t>
  </si>
  <si>
    <t>1. Navigasi ke menu Perangkat.
2. Verifikasi 15 baris aset terdaftar.
3. Periksa kolom IP, MAC, Site Lokasi, PIC Teknisi, dan latency ping.</t>
  </si>
  <si>
    <t>Tabel memuat 15 perangkat lengkap beserta alamat IP/MAC, site lokasi, PIC teknisi, dan response time ping tanpa missing data.</t>
  </si>
  <si>
    <t>200 OK, 15 perangkat aktif tampil lengkap dengan IP/MAC, site lokasi, PIC teknisi, metode ping/heartbeat, dan aksi telemetri.</t>
  </si>
  <si>
    <t>2026-10-26_Hari-15_TC-H15-002_devices-management-inventory.png</t>
  </si>
  <si>
    <t>Seluruh 15 aset dari database MariaDB terverifikasi utuh dengan status telemetri konsisten.</t>
  </si>
  <si>
    <t>Network Monitoring (NOC)</t>
  </si>
  <si>
    <t>Pemantauan Resource Server &amp; Mesin Protokol Multi-Engine (Ping, HTTP, TCP, Heartbeat)</t>
  </si>
  <si>
    <t>Performance &amp; System Health</t>
  </si>
  <si>
    <t>Backend dan MySQL aktif di server host</t>
  </si>
  <si>
    <t>1. Masuk menu Jaringan (#page-monitoring).
2. Verifikasi telemetri CPU, RAM, Disk, Uptime.
3. Verifikasi status ICMP Ping, Web Health Check (200 OK), TCP Port 3000 &amp; 3306.</t>
  </si>
  <si>
    <t>Metrik host terukur real-time (CPU, RAM, Disk), status protokol ping dan health check hijau, koneksi database terhubung.</t>
  </si>
  <si>
    <t>200 OK, CPU 6.2%, RAM 37.7%, Disk 1.1%, Uptime 2 Jam 18 Menit, ICMP Ping 22.2ms, Web API 200 OK, TCP Port 3000 &amp; 3306 MySQL terhubung real-time.</t>
  </si>
  <si>
    <t>2026-10-26_Hari-15_TC-H15-003_network-monitoring-protocol-engine.png</t>
  </si>
  <si>
    <t>Mesin protokol pemantauan multi-tier tervalidasi siap produksi dengan latensi stabil.</t>
  </si>
  <si>
    <t>Alerting &amp; Gateways</t>
  </si>
  <si>
    <t>Multi-Channel Alert Gateway (n8n, SMTP, Telegram) &amp; Indikator Debounce</t>
  </si>
  <si>
    <t>Integration &amp; Anti-Spam</t>
  </si>
  <si>
    <t>Akses menu Peringatan (#page-alerts)</t>
  </si>
  <si>
    <t>1. Buka menu Peringatan.
2. Periksa status gateway n8n, SMTP, Telegram.
3. Verifikasi badge proteksi anti-spam debounce 5 menit.</t>
  </si>
  <si>
    <t>Gateway multi-channel siap siaga (Standby), proteksi debounce aktif, ringkasan insiden terselesaikan (15 Cases) dan 10 dispatched alerts tampil.</t>
  </si>
  <si>
    <t>200 OK, Integrasi gateway notifikasi (n8n Webhook, SMTP Dispatcher, Telegram Bot) berstatus siaga (Standby) dengan proteksi anti-spam 5-min cooldown aktif.</t>
  </si>
  <si>
    <t>2026-10-26_Hari-15_TC-H15-004_alerts-multichannel-gateways.png</t>
  </si>
  <si>
    <t>Gerbang notifikasi terintegrasi penuh; pengujian anti-spam debounce berhasil mencegah storm alert.</t>
  </si>
  <si>
    <t>Incident Logging</t>
  </si>
  <si>
    <t>Log Riwayat Insiden Infrastruktur &amp; Audit Notifikasi Pemulihan Terkirim</t>
  </si>
  <si>
    <t>Audit Trail &amp; Incident Management</t>
  </si>
  <si>
    <t>Riwayat insiden tercatat di database</t>
  </si>
  <si>
    <t>1. Scroll tabel insiden pada menu Peringatan.
2. Periksa rincian INC-001 hingga INC-015 beserta akar masalah &amp; severity.
3. Verifikasi riwayat notifikasi terputus dan pemulihan.</t>
  </si>
  <si>
    <t>Seluruh histori insiden tercatat kronologis dengan severity, PIC teknisi, dan log notifikasi pemulihan tersinkronisasi.</t>
  </si>
  <si>
    <t>200 OK, Histori 15 insiden terselesaikan tervalidasi dengan severity (Tinggi/Sedang), log pemulihan kronologis tersaji lengkap tanpa anomali.</t>
  </si>
  <si>
    <t>2026-10-26_Hari-15_TC-H15-005_incidents-history-notification-logs.png</t>
  </si>
  <si>
    <t>Log siklus insiden dan recovery notification tercatat rapi sesuai format SOP Teknolab.</t>
  </si>
  <si>
    <t>TC-H15-006</t>
  </si>
  <si>
    <t>SLA Reports &amp; AI</t>
  </si>
  <si>
    <t>Laporan Infrastruktur, Analitik SLA Ketersediaan 30 Hari &amp; Asisten AI Teknolab</t>
  </si>
  <si>
    <t>Analytics &amp; Intelligence Verification</t>
  </si>
  <si>
    <t>Akses menu Laporan (#page-reports)</t>
  </si>
  <si>
    <t>1. Buka menu Laporan.
2. Verifikasi perhitungan SLA System Availability 30 Hari.
3. Periksa ketersediaan per lokasi (Head Office, Marketing, House of Server).
4. Uji modul Asisten AI Teknolab.</t>
  </si>
  <si>
    <t>Ketersediaan SLA 30 hari terhitung otomatis (33.3%), breakdown uptime 3 lokasi akurat, modul AI siap memberikan rekomendasi mitigasi.</t>
  </si>
  <si>
    <t>200 OK, Analisis ketersediaan SLA 30 hari (33.3%), breakdown uptime per lokasi (HO 37.5%, MO 79%, HoS 9.1%) dan Asisten AI siap analisis cerdas.</t>
  </si>
  <si>
    <t>2026-10-26_Hari-15_TC-H15-006_reports-sla-analytics-ai-assistant.png</t>
  </si>
  <si>
    <t>Modul pelaporan SLA dan kecerdasan buatan tervalidasi akurat; fitur ekspor PDF/Excel siap digunakan.</t>
  </si>
  <si>
    <t>TC-H16-001</t>
  </si>
  <si>
    <t>Network Simulation</t>
  </si>
  <si>
    <t>Network Throttling 3G Simulation &amp; Dashboard Executive KPI</t>
  </si>
  <si>
    <t>Performance / Network</t>
  </si>
  <si>
    <t>Frontend port 5500 &amp; Backend port 3000 aktif, DevTools Network throttling diatur ke 3G</t>
  </si>
  <si>
    <t>1. Buka DevTools F12 -&gt; tab Network. 2. Pilih Throttling 3G (Slow/Fast 3G). 3. Muat ulang dashboard eksekutif. 4. Amati waterfall request dan rendering KPI 15 perangkat.</t>
  </si>
  <si>
    <t>Pemuatan skrip dan aset berjalan teratur (graceful loading), 6 kartu KPI dan donut chart ter-render stabil tanpa fatal script error.</t>
  </si>
  <si>
    <t>Sesuai harapan. Waterfall request 3G terpantau stabil (~2.03s per call), KPI 15 perangkat dan peta sebaran 3 lokasi tampil lengkap.</t>
  </si>
  <si>
    <t>TC-H16-002</t>
  </si>
  <si>
    <t>Responsive Mobile UI</t>
  </si>
  <si>
    <t>Mobile Viewport Dashboard &amp; Responsive KPI Layout</t>
  </si>
  <si>
    <t>UI / Responsiveness</t>
  </si>
  <si>
    <t>DevTools device toolbar aktif (resolusi smartphone &lt;640px / 434x993)</t>
  </si>
  <si>
    <t>1. Tekan Ctrl+Shift+M untuk beralih ke mobile viewport. 2. Amati susunan header topbar, banner dashboard, dan grid KPI.</t>
  </si>
  <si>
    <t>Header topbar rapi, banner auto-wrap, grid 6 kartu KPI beradaptasi otomatis menjadi 2 kolom proporsional, dan bottom bar aktif di bawah.</t>
  </si>
  <si>
    <t>Sesuai harapan. Tampilan dashboard HP proporsional, tidak ada elemen melar keluar batas layar horizontal.</t>
  </si>
  <si>
    <t>TC-H16-003</t>
  </si>
  <si>
    <t>User Authentication &amp; RBAC</t>
  </si>
  <si>
    <t>Mobile User Profile &amp; Account Switcher Dropdown Interaction</t>
  </si>
  <si>
    <t>UI / Functional</t>
  </si>
  <si>
    <t>Sesi login aktif sebagai Reza Tri Wardana (Admin) pada viewport mobile</t>
  </si>
  <si>
    <t>1. Klik ikon avatar profil warna cyan di pojok kanan atas topbar HP. 2. Verifikasi menu dropdown yang muncul.</t>
  </si>
  <si>
    <t>Dropdown menu profil melayang rapi di bawah avatar, menampilkan nama user, role admin, opsi ganti foto, dan tombol Kembali ke Halaman Masuk / Ganti Akun tanpa terpotong tepi layar.</t>
  </si>
  <si>
    <t>Sesuai harapan. Menu ganti akun tampil utuh 100%, klikabel, dan terisolasi rapi di layar HP.</t>
  </si>
  <si>
    <t>TC-H16-004</t>
  </si>
  <si>
    <t>Mobile Devices Table Horizontal Swipe &amp; Touch Scroll</t>
  </si>
  <si>
    <t>Navigasi ke halaman Inventarisasi Perangkat pada viewport mobile</t>
  </si>
  <si>
    <t>1. Buka menu Perangkat via bottom nav bar. 2. Gulir ke tabel daftar perangkat. 3. Lakukan gestur swipe / scroll menyamping ke kanan dan kiri.</t>
  </si>
  <si>
    <t>Tabel 15 perangkat dapat digeser horizontal dengan mulus di dalam card container tanpa merusak lebar halaman web.</t>
  </si>
  <si>
    <t>Sesuai harapan. Seluruh kolom tabel (No, Kode Aset, Nama, IP, Lokasi, Status) dapat dibaca utuh dengan touch-swipe scroll yang responsif.</t>
  </si>
  <si>
    <t>TC-H16-005</t>
  </si>
  <si>
    <t>Mobile Devices Table Full Inventory Rendering (15 Aset)</t>
  </si>
  <si>
    <t>Tabel perangkat pada layar smartphone termuat penuh</t>
  </si>
  <si>
    <t>1. Gulir ke bagian bawah tabel perangkat. 2. Verifikasi baris ke-15 (SWM-01 Switch Manageable).</t>
  </si>
  <si>
    <t>Seluruh 15 baris aset dari database MariaDB ter-render lengkap dari baris 1 hingga baris 15.</t>
  </si>
  <si>
    <t>Sesuai harapan. Baris ke-15 terbukti tampil utuh dengan nomor urut, kode aset, dan IP address yang akurat.</t>
  </si>
  <si>
    <t>TC-H16-006</t>
  </si>
  <si>
    <t>API Security</t>
  </si>
  <si>
    <t>Backend API Error Sanitization 404 &amp; Zero Data Leakage</t>
  </si>
  <si>
    <t>Security / API</t>
  </si>
  <si>
    <t>Critical</t>
  </si>
  <si>
    <t>Server backend port 3000 aktif</t>
  </si>
  <si>
    <t>1. Akses endpoint palsu GET /api/endpoint-palsu-testing via browser/HTTP client. 2. Analisis response payload dan status code.</t>
  </si>
  <si>
    <t>Server merespon dengan HTTP 404 dan JSON payload tersanitasi bersih tanpa mengekspos stack trace atau struktur database.</t>
  </si>
  <si>
    <t>Sesuai harapan. Response: {"success":false,"error":"Endpoint tidak ditemukan"} dengan HTTP status 404, zero data leakage terverifikasi 100%.</t>
  </si>
  <si>
    <t>TC-H16-007</t>
  </si>
  <si>
    <t>Device Keyword Search CCTV Filter Integrity</t>
  </si>
  <si>
    <t>Halaman perangkat aktif dengan 15 data aset</t>
  </si>
  <si>
    <t>1. Masukkan kata kunci 'cctv' pada kolom pencarian aset. 2. Verifikasi hasil baris tabel yang ditampilkan.</t>
  </si>
  <si>
    <t>Tabel menyaring data secara instan dan menampilkan tepat 2 perangkat (CCTV Head Office dan CCTV Marketing).</t>
  </si>
  <si>
    <t>Sesuai harapan. Tepat 2 unit CCTV tersaring akurat dengan IP 192.168.1.39 dan 192.168.1.8.</t>
  </si>
  <si>
    <t>Verifikasi Pra-Deploy: Responsivitas Mobile, Network 3G, Sanitasi Error 404 &amp; Integritas Filter</t>
  </si>
  <si>
    <t>test-reports/2026-10-27_Hari-16.md</t>
  </si>
  <si>
    <t>test-reports/2026-10-24_Hari-13.md</t>
  </si>
  <si>
    <t>test-reports/2026-10-23_Hari-12.md</t>
  </si>
  <si>
    <t>test-reports/2026-10-22_Hari-11.md</t>
  </si>
  <si>
    <t>test-reports/2026-10-21_Hari-10.md</t>
  </si>
  <si>
    <t>test-reports/2026-10-20_Hari-9.md</t>
  </si>
  <si>
    <t>test-reports/2026-10-18_Hari-7.md</t>
  </si>
  <si>
    <t>test-reports/2026-10-17_Hari-6.md</t>
  </si>
  <si>
    <t>test-reports/2026-10-16_Hari-5.md</t>
  </si>
  <si>
    <t>test-reports/2026-10-15_Hari-4.md</t>
  </si>
  <si>
    <t>test-reports/2026-10-14_Hari-3.md</t>
  </si>
  <si>
    <t>test-reports/2026-10-13_Hari-2.md</t>
  </si>
  <si>
    <t>test-reports/2026-10-12_Hari-1.md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</si>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</sst>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u/>
      <sz val="11"/>
      <color rgb="FF0563C1"/>
      <name val="Calibri"/>
    </font>
    <font>
      <u/>
      <sz val="11"/>
      <color theme="10"/>
      <name val="Calibri"/>
      <family val="2"/>
      <scheme val="minor"/>
    </font>
    <font>
      <u/>
      <sz val="10"/>
      <color rgb="FF0000FF"/>
      <name val="Calibri"/>
      <family val="2"/>
      <scheme val="minor"/>
    </font>
    <font>
      <u/>
      <sz val="11"/>
      <color rgb="FF0000FF"/>
      <name val="Calibri"/>
      <family val="2"/>
      <scheme val="minor"/>
    </font>
    <font>
      <i/>
      <sz val="9"/>
      <color rgb="FF555555"/>
      <name val="Calibri"/>
      <family val="2"/>
      <scheme val="minor"/>
    </font>
    <font>
      <sz val="11"/>
      <color rgb="FF000000"/>
      <name val="Calibri"/>
      <family val="2"/>
      <scheme val="minor"/>
    </font>
    <font>
      <u/>
      <sz val="9.5"/>
      <color rgb="FF2563EB"/>
      <name val="Segoe UI"/>
      <family val="2"/>
    </font>
    <font>
      <b/>
      <sz val="10.5"/>
      <color rgb="FFFFFFFF"/>
      <name val="Segoe UI"/>
      <family val="2"/>
    </font>
    <font>
      <sz val="9.5"/>
      <color theme="1"/>
      <name val="Segoe UI"/>
      <family val="2"/>
    </font>
    <font>
      <b/>
      <sz val="9.5"/>
      <color theme="1"/>
      <name val="Segoe UI"/>
      <family val="2"/>
    </font>
    <font>
      <u/>
      <sz val="9.5"/>
      <color rgb="FF0563C1"/>
      <name val="Segoe UI"/>
      <family val="2"/>
    </font>
    <font>
      <sz val="9.5"/>
      <name val="Segoe UI"/>
      <family val="2"/>
    </font>
    <font>
      <sz val="9.5"/>
      <color rgb="FFF9FAFB"/>
      <name val="Segoe UI"/>
      <family val="2"/>
    </font>
    <font>
      <b/>
      <sz val="11"/>
      <color theme="0"/>
      <name val="Calibri"/>
      <family val="2"/>
      <scheme val="minor"/>
    </font>
    <font>
      <u/>
      <sz val="9.5"/>
      <name val="Segoe UI"/>
      <family val="2"/>
    </font>
    <font>
      <b/>
      <sz val="9.5"/>
      <name val="Segoe UI"/>
      <family val="2"/>
    </font>
    <font>
      <b/>
      <u/>
      <sz val="9.5"/>
      <name val="Segoe UI"/>
      <family val="2"/>
    </font>
    <font>
      <sz val="9.5"/>
      <color rgb="FF0F5132"/>
      <name val="Segoe UI"/>
      <family val="2"/>
    </font>
  </fonts>
  <fills count="7">
    <fill>
      <patternFill patternType="none"/>
    </fill>
    <fill>
      <patternFill patternType="gray125"/>
    </fill>
    <fill>
      <patternFill patternType="solid">
        <fgColor rgb="FF1B365D"/>
        <bgColor indexed="64"/>
      </patternFill>
    </fill>
    <fill>
      <patternFill patternType="solid">
        <fgColor rgb="FFFFFFFF"/>
        <bgColor indexed="64"/>
      </patternFill>
    </fill>
    <fill>
      <patternFill patternType="solid">
        <fgColor rgb="FFF8FAFC"/>
        <bgColor indexed="64"/>
      </patternFill>
    </fill>
    <fill>
      <patternFill patternType="solid">
        <fgColor rgb="FFF1F5F9"/>
        <bgColor indexed="64"/>
      </patternFill>
    </fill>
    <fill>
      <patternFill patternType="solid">
        <fgColor theme="4"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bottom style="thin">
        <color rgb="FFE2E8F0"/>
      </bottom>
      <diagonal/>
    </border>
  </borders>
  <cellStyleXfs count="2">
    <xf numFmtId="0" fontId="0" fillId="0" borderId="0"/>
    <xf numFmtId="0" fontId="3" fillId="0" borderId="0" applyNumberFormat="0" applyFill="0" applyBorder="0" applyAlignment="0" applyProtection="0"/>
  </cellStyleXfs>
  <cellXfs count="86">
    <xf numFmtId="0" fontId="0" fillId="0" borderId="0" xfId="0"/>
    <xf numFmtId="0" fontId="1" fillId="0" borderId="0" xfId="0" applyFont="1"/>
    <xf numFmtId="0" fontId="0" fillId="0" borderId="1" xfId="0"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right" vertical="center"/>
    </xf>
    <xf numFmtId="0" fontId="0" fillId="0" borderId="1" xfId="0" applyBorder="1" applyAlignment="1">
      <alignment vertical="top"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2" fillId="0" borderId="0" xfId="0" applyFont="1"/>
    <xf numFmtId="14" fontId="0" fillId="0" borderId="1" xfId="0" applyNumberFormat="1" applyBorder="1" applyAlignment="1">
      <alignment horizontal="right" vertical="center"/>
    </xf>
    <xf numFmtId="0" fontId="1" fillId="0" borderId="1" xfId="0" applyFont="1" applyBorder="1" applyAlignment="1">
      <alignment horizontal="left" vertical="top"/>
    </xf>
    <xf numFmtId="0" fontId="5" fillId="0" borderId="1" xfId="0" applyFont="1" applyBorder="1" applyAlignment="1">
      <alignment horizontal="left" vertical="center"/>
    </xf>
    <xf numFmtId="0" fontId="0" fillId="0" borderId="1" xfId="0" applyBorder="1" applyAlignment="1">
      <alignment horizontal="right" vertical="center" wrapText="1"/>
    </xf>
    <xf numFmtId="0" fontId="3" fillId="0" borderId="0" xfId="0" applyFont="1"/>
    <xf numFmtId="0" fontId="5" fillId="0" borderId="1" xfId="0" applyFont="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right" vertical="center"/>
    </xf>
    <xf numFmtId="0" fontId="0" fillId="0" borderId="0" xfId="0" applyAlignment="1">
      <alignment horizontal="left" vertical="top"/>
    </xf>
    <xf numFmtId="0" fontId="0" fillId="0" borderId="2" xfId="0" applyBorder="1" applyAlignment="1">
      <alignment horizontal="left" vertical="top"/>
    </xf>
    <xf numFmtId="0" fontId="4" fillId="0" borderId="1" xfId="0" applyFon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left" vertical="top" wrapText="1"/>
    </xf>
    <xf numFmtId="0" fontId="0" fillId="0" borderId="4" xfId="0" applyBorder="1" applyAlignment="1">
      <alignment horizontal="left" vertical="top"/>
    </xf>
    <xf numFmtId="0" fontId="0" fillId="0" borderId="4" xfId="0" applyBorder="1" applyAlignment="1">
      <alignment horizontal="right" vertical="center"/>
    </xf>
    <xf numFmtId="0" fontId="0" fillId="0" borderId="4" xfId="0" applyBorder="1" applyAlignment="1">
      <alignment horizontal="center" vertical="top"/>
    </xf>
    <xf numFmtId="0" fontId="0" fillId="0" borderId="1" xfId="0" applyBorder="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9" fillId="2" borderId="1" xfId="0" applyFont="1" applyFill="1" applyBorder="1" applyAlignment="1">
      <alignment horizontal="center" vertical="center"/>
    </xf>
    <xf numFmtId="0" fontId="10" fillId="0" borderId="5" xfId="0" applyFont="1" applyBorder="1" applyAlignment="1">
      <alignment horizontal="center" vertical="center"/>
    </xf>
    <xf numFmtId="0" fontId="10" fillId="0" borderId="5" xfId="0" applyFont="1" applyBorder="1" applyAlignment="1">
      <alignment horizontal="left" vertical="center"/>
    </xf>
    <xf numFmtId="0" fontId="10" fillId="0" borderId="5" xfId="0" applyFont="1" applyBorder="1" applyAlignment="1">
      <alignment horizontal="left" vertical="center" wrapText="1"/>
    </xf>
    <xf numFmtId="0" fontId="6" fillId="0" borderId="0" xfId="0" applyFont="1" applyAlignment="1">
      <alignment horizontal="left" vertical="top"/>
    </xf>
    <xf numFmtId="0" fontId="13" fillId="3" borderId="1" xfId="0" applyFont="1" applyFill="1" applyBorder="1" applyAlignment="1">
      <alignment horizontal="center" vertical="top"/>
    </xf>
    <xf numFmtId="0" fontId="10" fillId="3" borderId="1" xfId="0" applyFont="1" applyFill="1" applyBorder="1" applyAlignment="1">
      <alignment horizontal="center" vertical="top"/>
    </xf>
    <xf numFmtId="0" fontId="10" fillId="3" borderId="1" xfId="0" applyFont="1" applyFill="1" applyBorder="1" applyAlignment="1">
      <alignment horizontal="left" vertical="top" wrapText="1"/>
    </xf>
    <xf numFmtId="0" fontId="13" fillId="0" borderId="1" xfId="0" applyFont="1" applyFill="1" applyBorder="1" applyAlignment="1">
      <alignment horizontal="center" vertical="top"/>
    </xf>
    <xf numFmtId="0" fontId="13" fillId="3" borderId="1" xfId="0" applyFont="1" applyFill="1" applyBorder="1" applyAlignment="1">
      <alignment horizontal="left" vertical="top" wrapText="1"/>
    </xf>
    <xf numFmtId="0" fontId="17" fillId="0" borderId="1" xfId="0" applyFont="1" applyFill="1" applyBorder="1" applyAlignment="1">
      <alignment horizontal="center" vertical="top"/>
    </xf>
    <xf numFmtId="0" fontId="16" fillId="4" borderId="1" xfId="0" applyFont="1" applyFill="1" applyBorder="1" applyAlignment="1">
      <alignment horizontal="center" vertical="top"/>
    </xf>
    <xf numFmtId="0" fontId="10" fillId="4" borderId="1" xfId="0" applyFont="1" applyFill="1" applyBorder="1" applyAlignment="1">
      <alignment horizontal="center" vertical="top"/>
    </xf>
    <xf numFmtId="0" fontId="10" fillId="4" borderId="1" xfId="0" applyFont="1" applyFill="1" applyBorder="1" applyAlignment="1">
      <alignment horizontal="left" vertical="top" wrapText="1"/>
    </xf>
    <xf numFmtId="0" fontId="12" fillId="4" borderId="1" xfId="0" applyFont="1" applyFill="1" applyBorder="1" applyAlignment="1">
      <alignment horizontal="center" vertical="top"/>
    </xf>
    <xf numFmtId="0" fontId="16" fillId="3" borderId="1" xfId="0" applyFont="1" applyFill="1" applyBorder="1" applyAlignment="1">
      <alignment horizontal="center" vertical="top"/>
    </xf>
    <xf numFmtId="0" fontId="12" fillId="3" borderId="1" xfId="0" applyFont="1" applyFill="1" applyBorder="1" applyAlignment="1">
      <alignment horizontal="center" vertical="top"/>
    </xf>
    <xf numFmtId="0" fontId="12" fillId="3"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4" fillId="4" borderId="1" xfId="0" applyFont="1" applyFill="1" applyBorder="1" applyAlignment="1">
      <alignment horizontal="center" vertical="top"/>
    </xf>
    <xf numFmtId="0" fontId="18" fillId="0" borderId="1" xfId="0" applyFont="1" applyFill="1" applyBorder="1" applyAlignment="1">
      <alignment horizontal="center" vertical="top"/>
    </xf>
    <xf numFmtId="0" fontId="8" fillId="3" borderId="1" xfId="0" applyFont="1" applyFill="1" applyBorder="1" applyAlignment="1">
      <alignment horizontal="left" vertical="top" wrapText="1"/>
    </xf>
    <xf numFmtId="0" fontId="8" fillId="4" borderId="1" xfId="0" applyFont="1" applyFill="1" applyBorder="1" applyAlignment="1">
      <alignment horizontal="left" vertical="top" wrapText="1"/>
    </xf>
    <xf numFmtId="14" fontId="10" fillId="4" borderId="1" xfId="0" applyNumberFormat="1" applyFont="1" applyFill="1" applyBorder="1" applyAlignment="1">
      <alignment horizontal="center" vertical="top"/>
    </xf>
    <xf numFmtId="14" fontId="10" fillId="3" borderId="1" xfId="0" applyNumberFormat="1" applyFont="1" applyFill="1" applyBorder="1" applyAlignment="1">
      <alignment horizontal="center" vertical="top"/>
    </xf>
    <xf numFmtId="0" fontId="8" fillId="4" borderId="1" xfId="1" applyFont="1" applyFill="1" applyBorder="1" applyAlignment="1">
      <alignment horizontal="left" vertical="top" wrapText="1"/>
    </xf>
    <xf numFmtId="0" fontId="8" fillId="3" borderId="1" xfId="1" applyFont="1" applyFill="1" applyBorder="1" applyAlignment="1">
      <alignment horizontal="left" vertical="top" wrapText="1"/>
    </xf>
    <xf numFmtId="0" fontId="10" fillId="0" borderId="6" xfId="0" applyFont="1" applyBorder="1" applyAlignment="1">
      <alignment horizontal="center" vertical="center"/>
    </xf>
    <xf numFmtId="0" fontId="10" fillId="0" borderId="6" xfId="0" applyFont="1" applyBorder="1" applyAlignment="1">
      <alignment horizontal="left" vertical="center" wrapText="1"/>
    </xf>
    <xf numFmtId="0" fontId="10" fillId="0" borderId="6" xfId="0" applyFont="1" applyBorder="1" applyAlignment="1">
      <alignment horizontal="left" vertical="center"/>
    </xf>
    <xf numFmtId="14"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8" fillId="3" borderId="1" xfId="1" applyFont="1" applyFill="1" applyBorder="1" applyAlignment="1">
      <alignment horizontal="left" vertical="center"/>
    </xf>
    <xf numFmtId="14" fontId="10" fillId="4"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0" fontId="8" fillId="4" borderId="1" xfId="1" applyFont="1" applyFill="1" applyBorder="1" applyAlignment="1">
      <alignment horizontal="left" vertical="center"/>
    </xf>
    <xf numFmtId="0" fontId="10" fillId="0" borderId="1" xfId="0" applyFont="1" applyBorder="1" applyAlignment="1">
      <alignment horizontal="center" vertical="center"/>
    </xf>
    <xf numFmtId="0" fontId="12" fillId="0" borderId="1" xfId="0" applyFont="1" applyBorder="1" applyAlignment="1">
      <alignment horizontal="left" vertical="center"/>
    </xf>
    <xf numFmtId="14" fontId="10" fillId="0" borderId="1" xfId="0" applyNumberFormat="1" applyFont="1" applyBorder="1" applyAlignment="1">
      <alignment horizontal="center" vertical="center"/>
    </xf>
    <xf numFmtId="0" fontId="13" fillId="3"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3" fillId="4" borderId="1" xfId="0" applyFont="1" applyFill="1" applyBorder="1" applyAlignment="1">
      <alignment horizontal="center" vertical="center"/>
    </xf>
    <xf numFmtId="0" fontId="13" fillId="3" borderId="1" xfId="0" applyFont="1" applyFill="1" applyBorder="1" applyAlignment="1">
      <alignment horizontal="center" vertical="center"/>
    </xf>
    <xf numFmtId="0" fontId="13" fillId="0" borderId="1" xfId="0" applyFont="1" applyBorder="1" applyAlignment="1">
      <alignment horizontal="center" vertical="center"/>
    </xf>
    <xf numFmtId="0" fontId="19" fillId="4" borderId="1" xfId="0" applyFont="1" applyFill="1" applyBorder="1" applyAlignment="1">
      <alignment horizontal="center" vertical="center"/>
    </xf>
    <xf numFmtId="0" fontId="19" fillId="3" borderId="1" xfId="0" applyFont="1" applyFill="1" applyBorder="1" applyAlignment="1">
      <alignment horizontal="center" vertical="center"/>
    </xf>
    <xf numFmtId="0" fontId="10" fillId="3" borderId="1" xfId="0" applyFont="1" applyFill="1" applyBorder="1" applyAlignment="1">
      <alignment horizontal="left" vertical="center"/>
    </xf>
    <xf numFmtId="164" fontId="10" fillId="3" borderId="1" xfId="0" applyNumberFormat="1" applyFont="1" applyFill="1" applyBorder="1" applyAlignment="1">
      <alignment horizontal="center" vertical="center"/>
    </xf>
    <xf numFmtId="0" fontId="10" fillId="4" borderId="1" xfId="0" applyFont="1" applyFill="1" applyBorder="1" applyAlignment="1">
      <alignment horizontal="left" vertical="center"/>
    </xf>
    <xf numFmtId="164" fontId="10" fillId="4" borderId="1" xfId="0" applyNumberFormat="1" applyFont="1" applyFill="1" applyBorder="1" applyAlignment="1">
      <alignment horizontal="center" vertical="center"/>
    </xf>
    <xf numFmtId="0" fontId="11" fillId="5" borderId="1" xfId="0" applyFont="1" applyFill="1" applyBorder="1" applyAlignment="1">
      <alignment horizontal="left" vertical="center"/>
    </xf>
    <xf numFmtId="0" fontId="11" fillId="5" borderId="1" xfId="0" applyFont="1" applyFill="1" applyBorder="1" applyAlignment="1">
      <alignment horizontal="center" vertical="center"/>
    </xf>
    <xf numFmtId="164" fontId="11" fillId="5" borderId="1" xfId="0" applyNumberFormat="1" applyFont="1" applyFill="1" applyBorder="1" applyAlignment="1">
      <alignment horizontal="center" vertical="center"/>
    </xf>
    <xf numFmtId="0" fontId="15" fillId="6" borderId="1"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evidence\screenshots\Hari-5\2026-10-16_retest_BUG-002_pass.png" TargetMode="External"/><Relationship Id="rId21" Type="http://schemas.openxmlformats.org/officeDocument/2006/relationships/hyperlink" Target="evidence\screenshots\Hari-12\2026-10-23_Hari-12_TC-HB-002_iot-heartbeat-recovery.png" TargetMode="External"/><Relationship Id="rId42" Type="http://schemas.openxmlformats.org/officeDocument/2006/relationships/hyperlink" Target="evidence/screenshots/Hari-9/2026-10-20_Hari-9_dashboard_desktop-1080p.png" TargetMode="External"/><Relationship Id="rId47" Type="http://schemas.openxmlformats.org/officeDocument/2006/relationships/hyperlink" Target="evidence/screenshots/Hari-9/2026-10-20_Hari-9_dashboard_users-management.png" TargetMode="External"/><Relationship Id="rId63" Type="http://schemas.openxmlformats.org/officeDocument/2006/relationships/hyperlink" Target="evidence/screenshots/Hari-14/2026-10-25_Hari-14_TC-H14-006_blueprint-ho-2d-cad.png" TargetMode="External"/><Relationship Id="rId68" Type="http://schemas.openxmlformats.org/officeDocument/2006/relationships/hyperlink" Target="evidence/screenshots/Hari-14/2026-10-25_Hari-14_TC-H14-011_digitaltwin-hos-3d-model.png" TargetMode="External"/><Relationship Id="rId84" Type="http://schemas.openxmlformats.org/officeDocument/2006/relationships/hyperlink" Target="evidence/screenshots/Hari-16/2026-10-27_Hari-16_TC-H16-005_mobile-devices-table-full-inventory-rendering.png" TargetMode="External"/><Relationship Id="rId16" Type="http://schemas.openxmlformats.org/officeDocument/2006/relationships/hyperlink" Target="evidence\screenshots\Hari-13\2026-10-24_Hari-13_TC-ASSET-015_priority-1-critical-assets.png" TargetMode="External"/><Relationship Id="rId11" Type="http://schemas.openxmlformats.org/officeDocument/2006/relationships/hyperlink" Target="evidence\screenshots\Hari-13\2026-10-24_Hari-13_TC-ASSET-010_filter-category-router.png" TargetMode="External"/><Relationship Id="rId32" Type="http://schemas.openxmlformats.org/officeDocument/2006/relationships/hyperlink" Target="evidence\screenshots\Hari-13\2026-10-24_Hari-13_TC-HB-001_iot-heartbeat-telemetry.png" TargetMode="External"/><Relationship Id="rId37" Type="http://schemas.openxmlformats.org/officeDocument/2006/relationships/hyperlink" Target="evidence\screenshots\Hari-8\2026-10-20_Hari-8_wireframe_mobile-view-375p.png" TargetMode="External"/><Relationship Id="rId53" Type="http://schemas.openxmlformats.org/officeDocument/2006/relationships/hyperlink" Target="evidence/screenshots/Hari-10/2026-10-21_Hari-10_final-dashboard_reports-export.png" TargetMode="External"/><Relationship Id="rId58" Type="http://schemas.openxmlformats.org/officeDocument/2006/relationships/hyperlink" Target="evidence/screenshots/Hari-14/2026-10-25_Hari-14_TC-H14-001_dashboard-executive-kpi.png" TargetMode="External"/><Relationship Id="rId74" Type="http://schemas.openxmlformats.org/officeDocument/2006/relationships/hyperlink" Target="evidence/screenshots/Hari-15/2026-10-26_Hari-15_TC-H15-001_dashboard-executive-kpi.png" TargetMode="External"/><Relationship Id="rId79" Type="http://schemas.openxmlformats.org/officeDocument/2006/relationships/hyperlink" Target="evidence/screenshots/Hari-15/2026-10-26_Hari-15_TC-H15-006_reports-sla-analytics-ai-assistant.png" TargetMode="External"/><Relationship Id="rId5" Type="http://schemas.openxmlformats.org/officeDocument/2006/relationships/hyperlink" Target="evidence\screenshots\Hari-13\2026-10-24_Hari-13_TC-ASSET-004_ubuntu-server-inventory.png" TargetMode="External"/><Relationship Id="rId19" Type="http://schemas.openxmlformats.org/officeDocument/2006/relationships/hyperlink" Target="evidence\screenshots\Hari-12\2026-10-23_Hari-12_TC-FAIL-001_offline-detection.png" TargetMode="External"/><Relationship Id="rId14" Type="http://schemas.openxmlformats.org/officeDocument/2006/relationships/hyperlink" Target="evidence\screenshots\Hari-13\2026-10-24_Hari-13_TC-ASSET-013_mikrotik-ip-verification.png" TargetMode="External"/><Relationship Id="rId22" Type="http://schemas.openxmlformats.org/officeDocument/2006/relationships/hyperlink" Target="evidence\screenshots\Hari-12\2026-10-23_Hari-12_TC-WARN-001_high-latency-warning.png" TargetMode="External"/><Relationship Id="rId27" Type="http://schemas.openxmlformats.org/officeDocument/2006/relationships/hyperlink" Target="evidence\screenshots\Hari-11\2026-10-22_Hari-11_TC-MON-001_icmp-ping.png" TargetMode="External"/><Relationship Id="rId30" Type="http://schemas.openxmlformats.org/officeDocument/2006/relationships/hyperlink" Target="evidence\screenshots\Hari-11\2026-10-22_Hari-11_TC-MON-004_latency-logs.png" TargetMode="External"/><Relationship Id="rId35" Type="http://schemas.openxmlformats.org/officeDocument/2006/relationships/hyperlink" Target="evidence\screenshots\Hari-8\2026-10-20_Hari-8_wireframe_desktop-dashboard-1080p.png" TargetMode="External"/><Relationship Id="rId43" Type="http://schemas.openxmlformats.org/officeDocument/2006/relationships/hyperlink" Target="evidence/screenshots/Hari-9/2026-10-20_Hari-9_dashboard_devices-table.png" TargetMode="External"/><Relationship Id="rId48" Type="http://schemas.openxmlformats.org/officeDocument/2006/relationships/hyperlink" Target="evidence/screenshots/Hari-9/2026-10-20_Hari-9_dashboard_tablet-768p.png" TargetMode="External"/><Relationship Id="rId56" Type="http://schemas.openxmlformats.org/officeDocument/2006/relationships/hyperlink" Target="evidence/screenshots/Hari-10/2026-10-21_Hari-10_final-dashboard_reports-export.png" TargetMode="External"/><Relationship Id="rId64" Type="http://schemas.openxmlformats.org/officeDocument/2006/relationships/hyperlink" Target="evidence/screenshots/Hari-14/2026-10-25_Hari-14_TC-H14-007_blueprint-mo-2d-cad.png" TargetMode="External"/><Relationship Id="rId69" Type="http://schemas.openxmlformats.org/officeDocument/2006/relationships/hyperlink" Target="evidence/screenshots/Hari-14/2026-10-25_Hari-14_TC-H14-012_sensor-point-calibrate-modal.png" TargetMode="External"/><Relationship Id="rId77" Type="http://schemas.openxmlformats.org/officeDocument/2006/relationships/hyperlink" Target="evidence/screenshots/Hari-15/2026-10-26_Hari-15_TC-H15-004_alerts-multichannel-gateways.png" TargetMode="External"/><Relationship Id="rId8" Type="http://schemas.openxmlformats.org/officeDocument/2006/relationships/hyperlink" Target="evidence\screenshots\Hari-13\2026-10-24_Hari-13_TC-ASSET-007_esp32-node-detail.png" TargetMode="External"/><Relationship Id="rId51" Type="http://schemas.openxmlformats.org/officeDocument/2006/relationships/hyperlink" Target="evidence/screenshots/Hari-10/2026-10-21_Hari-10_final-dashboard_alerts-tickets.png" TargetMode="External"/><Relationship Id="rId72" Type="http://schemas.openxmlformats.org/officeDocument/2006/relationships/hyperlink" Target="evidence/screenshots/Hari-14/2026-10-25_Hari-14_TC-H14-015_reports-sla-analytics-ai-assistant.png" TargetMode="External"/><Relationship Id="rId80" Type="http://schemas.openxmlformats.org/officeDocument/2006/relationships/hyperlink" Target="evidence/screenshots/Hari-16/2026-10-27_Hari-16_TC-H16-001_network-throttling-3g-dashboard-kpi.png" TargetMode="External"/><Relationship Id="rId85" Type="http://schemas.openxmlformats.org/officeDocument/2006/relationships/hyperlink" Target="evidence/screenshots/Hari-16/2026-10-27_Hari-16_TC-H16-006_backend-api-error-sanitization-404-zero-leakage.png" TargetMode="External"/><Relationship Id="rId3" Type="http://schemas.openxmlformats.org/officeDocument/2006/relationships/hyperlink" Target="evidence\screenshots\Hari-13\2026-10-24_Hari-13_TC-ASSET-002_cisco-switch-inventory.png" TargetMode="External"/><Relationship Id="rId12" Type="http://schemas.openxmlformats.org/officeDocument/2006/relationships/hyperlink" Target="evidence\screenshots\Hari-13\2026-10-24_Hari-13_TC-ASSET-011_filter-category-iotnode.png" TargetMode="External"/><Relationship Id="rId17" Type="http://schemas.openxmlformats.org/officeDocument/2006/relationships/hyperlink" Target="evidence\screenshots\Hari-12\2026-10-23_Hari-12_TC-INC-001_auto-incident-generated.png" TargetMode="External"/><Relationship Id="rId25" Type="http://schemas.openxmlformats.org/officeDocument/2006/relationships/hyperlink" Target="evidence\screenshots\Hari-5\2026-10-16_retest_BUG-004_pass.png" TargetMode="External"/><Relationship Id="rId33" Type="http://schemas.openxmlformats.org/officeDocument/2006/relationships/hyperlink" Target="evidence\screenshots\Hari-13\2026-10-24_Hari-13_TC-HB-002_unregistered-device-rejection.png" TargetMode="External"/><Relationship Id="rId38" Type="http://schemas.openxmlformats.org/officeDocument/2006/relationships/hyperlink" Target="evidence\screenshots\Hari-8\2026-10-20_Hari-8_wireframe_rbac_super-admin.png" TargetMode="External"/><Relationship Id="rId46" Type="http://schemas.openxmlformats.org/officeDocument/2006/relationships/hyperlink" Target="evidence/screenshots/Hari-9/2026-10-20_Hari-9_dashboard_alerts-incidents.png" TargetMode="External"/><Relationship Id="rId59" Type="http://schemas.openxmlformats.org/officeDocument/2006/relationships/hyperlink" Target="evidence/screenshots/Hari-14/2026-10-25_Hari-14_TC-H14-002_devices-management-inventory.png" TargetMode="External"/><Relationship Id="rId67" Type="http://schemas.openxmlformats.org/officeDocument/2006/relationships/hyperlink" Target="evidence/screenshots/Hari-14/2026-10-25_Hari-14_TC-H14-010_digitaltwin-mo-3d-model.png" TargetMode="External"/><Relationship Id="rId20" Type="http://schemas.openxmlformats.org/officeDocument/2006/relationships/hyperlink" Target="evidence\screenshots\Hari-12\2026-10-23_Hari-12_TC-NOTIF-001_alert-notification-trigger.png" TargetMode="External"/><Relationship Id="rId41" Type="http://schemas.openxmlformats.org/officeDocument/2006/relationships/hyperlink" Target="evidence\screenshots\Hari-8\2026-10-20_Hari-8_wireframe_settings-permanen.png" TargetMode="External"/><Relationship Id="rId54" Type="http://schemas.openxmlformats.org/officeDocument/2006/relationships/hyperlink" Target="evidence/screenshots/Hari-10/2026-10-21_Hari-10_final-dashboard_devices-management.png" TargetMode="External"/><Relationship Id="rId62" Type="http://schemas.openxmlformats.org/officeDocument/2006/relationships/hyperlink" Target="evidence/screenshots/Hari-14/2026-10-25_Hari-14_TC-H14-005_network-monitoring-protocol-engine.png" TargetMode="External"/><Relationship Id="rId70" Type="http://schemas.openxmlformats.org/officeDocument/2006/relationships/hyperlink" Target="evidence/screenshots/Hari-14/2026-10-25_Hari-14_TC-H14-013_alerts-multichannel-gateways.png" TargetMode="External"/><Relationship Id="rId75" Type="http://schemas.openxmlformats.org/officeDocument/2006/relationships/hyperlink" Target="evidence/screenshots/Hari-15/2026-10-26_Hari-15_TC-H15-002_devices-management-inventory.png" TargetMode="External"/><Relationship Id="rId83" Type="http://schemas.openxmlformats.org/officeDocument/2006/relationships/hyperlink" Target="evidence/screenshots/Hari-16/2026-10-27_Hari-16_TC-H16-004_mobile-devices-table-horizontal-swipe-scroll.png" TargetMode="External"/><Relationship Id="rId1" Type="http://schemas.openxmlformats.org/officeDocument/2006/relationships/hyperlink" Target="evidence/screenshots/Hari-10/2026-10-21_Hari-10_final-dashboard_monitoring-live.png" TargetMode="External"/><Relationship Id="rId6" Type="http://schemas.openxmlformats.org/officeDocument/2006/relationships/hyperlink" Target="evidence\screenshots\Hari-13\2026-10-24_Hari-13_TC-ASSET-005_raspberry-pi-gateway.png" TargetMode="External"/><Relationship Id="rId15" Type="http://schemas.openxmlformats.org/officeDocument/2006/relationships/hyperlink" Target="evidence\screenshots\Hari-13\2026-10-24_Hari-13_TC-ASSET-014_esp32-mqtt-telemetry-config.png" TargetMode="External"/><Relationship Id="rId23" Type="http://schemas.openxmlformats.org/officeDocument/2006/relationships/hyperlink" Target="evidence\screenshots\Hari-4\2026-10-15_BUG-003_me-500.png" TargetMode="External"/><Relationship Id="rId28" Type="http://schemas.openxmlformats.org/officeDocument/2006/relationships/hyperlink" Target="evidence\screenshots\Hari-11\2026-10-22_Hari-11_TC-MON-002_http-health.png" TargetMode="External"/><Relationship Id="rId36" Type="http://schemas.openxmlformats.org/officeDocument/2006/relationships/hyperlink" Target="evidence\screenshots\Hari-8\2026-10-20_Hari-8_wireframe_tablet-view-768p.png" TargetMode="External"/><Relationship Id="rId49" Type="http://schemas.openxmlformats.org/officeDocument/2006/relationships/hyperlink" Target="evidence/screenshots/Hari-9/2026-10-20_Hari-9_dashboard_mobile-375p.png" TargetMode="External"/><Relationship Id="rId57" Type="http://schemas.openxmlformats.org/officeDocument/2006/relationships/hyperlink" Target="evidence/screenshots/Hari-10/2026-10-21_Hari-10_final-dashboard_users-rbac.png" TargetMode="External"/><Relationship Id="rId10" Type="http://schemas.openxmlformats.org/officeDocument/2006/relationships/hyperlink" Target="evidence\screenshots\Hari-13\2026-10-24_Hari-13_TC-ASSET-009_pc-headoffice-inventory.png" TargetMode="External"/><Relationship Id="rId31" Type="http://schemas.openxmlformats.org/officeDocument/2006/relationships/hyperlink" Target="evidence\screenshots\Hari-11\2026-10-22_Hari-11_TC-MON-005_monitoring-summary.png" TargetMode="External"/><Relationship Id="rId44" Type="http://schemas.openxmlformats.org/officeDocument/2006/relationships/hyperlink" Target="evidence/screenshots/Hari-9/2026-10-20_Hari-9_dashboard_monitoring-live.png" TargetMode="External"/><Relationship Id="rId52" Type="http://schemas.openxmlformats.org/officeDocument/2006/relationships/hyperlink" Target="evidence/screenshots/Hari-10/2026-10-21_Hari-10_final-dashboard_devices-management.png" TargetMode="External"/><Relationship Id="rId60" Type="http://schemas.openxmlformats.org/officeDocument/2006/relationships/hyperlink" Target="evidence/screenshots/Hari-14/2026-10-25_Hari-14_TC-H14-003_device-detail-modal-mkrt01.png" TargetMode="External"/><Relationship Id="rId65" Type="http://schemas.openxmlformats.org/officeDocument/2006/relationships/hyperlink" Target="evidence/screenshots/Hari-14/2026-10-25_Hari-14_TC-H14-008_blueprint-hos-2d-cad.png" TargetMode="External"/><Relationship Id="rId73" Type="http://schemas.openxmlformats.org/officeDocument/2006/relationships/hyperlink" Target="evidence/screenshots/Hari-14/2026-10-25_Hari-14_TC-H14-016_users-management-rbac-matrix.png" TargetMode="External"/><Relationship Id="rId78" Type="http://schemas.openxmlformats.org/officeDocument/2006/relationships/hyperlink" Target="evidence/screenshots/Hari-15/2026-10-26_Hari-15_TC-H15-005_incidents-history-notification-logs.png" TargetMode="External"/><Relationship Id="rId81" Type="http://schemas.openxmlformats.org/officeDocument/2006/relationships/hyperlink" Target="evidence/screenshots/Hari-16/2026-10-27_Hari-16_TC-H16-002_mobile-viewport-dashboard-kpi-layout.png" TargetMode="External"/><Relationship Id="rId86" Type="http://schemas.openxmlformats.org/officeDocument/2006/relationships/hyperlink" Target="evidence/screenshots/Hari-16/2026-10-27_Hari-16_TC-H16-007_device-keyword-search-cctv-filter-integrity.png" TargetMode="External"/><Relationship Id="rId4" Type="http://schemas.openxmlformats.org/officeDocument/2006/relationships/hyperlink" Target="evidence\screenshots\Hari-13\2026-10-24_Hari-13_TC-ASSET-003_unifi-cctv-inventory.png" TargetMode="External"/><Relationship Id="rId9" Type="http://schemas.openxmlformats.org/officeDocument/2006/relationships/hyperlink" Target="evidence\screenshots\Hari-13\2026-10-24_Hari-13_TC-ASSET-008_mqtt-broker-telemetry.png" TargetMode="External"/><Relationship Id="rId13" Type="http://schemas.openxmlformats.org/officeDocument/2006/relationships/hyperlink" Target="evidence\screenshots\Hari-13\2026-10-24_Hari-13_TC-ASSET-012_filter-location-headoffice.png" TargetMode="External"/><Relationship Id="rId18" Type="http://schemas.openxmlformats.org/officeDocument/2006/relationships/hyperlink" Target="evidence\screenshots\Hari-12\2026-10-23_Hari-12_TC-REC-001_auto-resolved-recovery.png" TargetMode="External"/><Relationship Id="rId39" Type="http://schemas.openxmlformats.org/officeDocument/2006/relationships/hyperlink" Target="evidence\screenshots\Hari-8\2026-10-20_Hari-8_wireframe_donut-chart-clean.png" TargetMode="External"/><Relationship Id="rId34" Type="http://schemas.openxmlformats.org/officeDocument/2006/relationships/hyperlink" Target="evidence\screenshots\Hari-13\2026-10-24_Hari-13_TC-HB-003_latest-iot-heartbeat-denah.png" TargetMode="External"/><Relationship Id="rId50" Type="http://schemas.openxmlformats.org/officeDocument/2006/relationships/hyperlink" Target="evidence/screenshots/Hari-10/2026-10-21_Hari-10_final-dashboard_monitoring-live.png" TargetMode="External"/><Relationship Id="rId55" Type="http://schemas.openxmlformats.org/officeDocument/2006/relationships/hyperlink" Target="evidence/screenshots/Hari-10/2026-10-21_Hari-10_final-dashboard_desktop-1080p.png" TargetMode="External"/><Relationship Id="rId76" Type="http://schemas.openxmlformats.org/officeDocument/2006/relationships/hyperlink" Target="evidence/screenshots/Hari-15/2026-10-26_Hari-15_TC-H15-003_network-monitoring-protocol-engine.png" TargetMode="External"/><Relationship Id="rId7" Type="http://schemas.openxmlformats.org/officeDocument/2006/relationships/hyperlink" Target="evidence\screenshots\Hari-13\2026-10-24_Hari-13_TC-ASSET-006_website-service-online.png" TargetMode="External"/><Relationship Id="rId71" Type="http://schemas.openxmlformats.org/officeDocument/2006/relationships/hyperlink" Target="evidence/screenshots/Hari-14/2026-10-25_Hari-14_TC-H14-014_alerts-incident-notification-feed.png" TargetMode="External"/><Relationship Id="rId2" Type="http://schemas.openxmlformats.org/officeDocument/2006/relationships/hyperlink" Target="evidence\screenshots\Hari-13\2026-10-24_Hari-13_TC-ASSET-001_mikrotik-router-inventory.png" TargetMode="External"/><Relationship Id="rId29" Type="http://schemas.openxmlformats.org/officeDocument/2006/relationships/hyperlink" Target="evidence\screenshots\Hari-11\2026-10-22_Hari-11_TC-MON-003_tcp-port-scan.png" TargetMode="External"/><Relationship Id="rId24" Type="http://schemas.openxmlformats.org/officeDocument/2006/relationships/hyperlink" Target="evidence\screenshots\Hari-3\2026-10-14_retest_BUG-001_pass.png" TargetMode="External"/><Relationship Id="rId40" Type="http://schemas.openxmlformats.org/officeDocument/2006/relationships/hyperlink" Target="evidence\screenshots\Hari-8\2026-10-20_Hari-8_wireframe_modal-detail-spec.png" TargetMode="External"/><Relationship Id="rId45" Type="http://schemas.openxmlformats.org/officeDocument/2006/relationships/hyperlink" Target="evidence/screenshots/Hari-9/2026-10-20_Hari-9_dashboard_location-gis.png" TargetMode="External"/><Relationship Id="rId66" Type="http://schemas.openxmlformats.org/officeDocument/2006/relationships/hyperlink" Target="evidence/screenshots/Hari-14/2026-10-25_Hari-14_TC-H14-009_digitaltwin-ho-3d-model.png" TargetMode="External"/><Relationship Id="rId87" Type="http://schemas.openxmlformats.org/officeDocument/2006/relationships/printerSettings" Target="../printerSettings/printerSettings1.bin"/><Relationship Id="rId61" Type="http://schemas.openxmlformats.org/officeDocument/2006/relationships/hyperlink" Target="evidence/screenshots/Hari-14/2026-10-25_Hari-14_TC-H14-004_add-device-modal-form.png" TargetMode="External"/><Relationship Id="rId82" Type="http://schemas.openxmlformats.org/officeDocument/2006/relationships/hyperlink" Target="evidence/screenshots/Hari-16/2026-10-27_Hari-16_TC-H16-003_mobile-user-profile-account-switcher-dropdown.p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evidence\screenshots\Hari-7\2026-10-19_Hari-7_modul_dashboard-utama.png" TargetMode="External"/><Relationship Id="rId3" Type="http://schemas.openxmlformats.org/officeDocument/2006/relationships/hyperlink" Target="evidence\screenshots\Hari-4\2026-10-15_BUG-003_me-500.png" TargetMode="External"/><Relationship Id="rId7" Type="http://schemas.openxmlformats.org/officeDocument/2006/relationships/hyperlink" Target="evidence\screenshots\Hari-7\2026-10-19_Hari-7_modul_dashboard-utama.png" TargetMode="External"/><Relationship Id="rId2" Type="http://schemas.openxmlformats.org/officeDocument/2006/relationships/hyperlink" Target="evidence\screenshots\Hari-5\2026-10-16_retest_BUG-002_pass.png" TargetMode="External"/><Relationship Id="rId1" Type="http://schemas.openxmlformats.org/officeDocument/2006/relationships/hyperlink" Target="evidence\screenshots\Hari-3\2026-10-14_retest_BUG-001_pass.png" TargetMode="External"/><Relationship Id="rId6" Type="http://schemas.openxmlformats.org/officeDocument/2006/relationships/hyperlink" Target="evidence\screenshots\Hari-7\2026-10-19_Hari-7_modul_portal-login.png" TargetMode="External"/><Relationship Id="rId5" Type="http://schemas.openxmlformats.org/officeDocument/2006/relationships/hyperlink" Target="evidence\screenshots\Hari-6\2026-10-18_BUG-005_zip-corrupt.png" TargetMode="External"/><Relationship Id="rId10" Type="http://schemas.openxmlformats.org/officeDocument/2006/relationships/hyperlink" Target="evidence\screenshots\Hari-7\2026-10-19_Hari-7_modul_dashboard-utama.png" TargetMode="External"/><Relationship Id="rId4" Type="http://schemas.openxmlformats.org/officeDocument/2006/relationships/hyperlink" Target="evidence\screenshots\Hari-5\2026-10-16_retest_BUG-004_pass.png" TargetMode="External"/><Relationship Id="rId9" Type="http://schemas.openxmlformats.org/officeDocument/2006/relationships/hyperlink" Target="evidence\screenshots\Hari-7\2026-10-19_Hari-7_modul_modal-detail-perangkat.p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evidence\screenshots\Hari-7\2026-10-19_Hari-7_modul_dashboard-utama.png" TargetMode="External"/><Relationship Id="rId13" Type="http://schemas.openxmlformats.org/officeDocument/2006/relationships/hyperlink" Target="evidence/screenshots/Hari-10/2026-10-21_Hari-10_final-dashboard_desktop-1080p.png" TargetMode="External"/><Relationship Id="rId18" Type="http://schemas.openxmlformats.org/officeDocument/2006/relationships/hyperlink" Target="evidence/screenshots/Hari-10/2026-10-21_Hari-10_final-dashboard_users-rbac.png" TargetMode="External"/><Relationship Id="rId3" Type="http://schemas.openxmlformats.org/officeDocument/2006/relationships/hyperlink" Target="evidence\screenshots\Hari-4\2026-10-15_BUG-003_me-500.png" TargetMode="External"/><Relationship Id="rId7" Type="http://schemas.openxmlformats.org/officeDocument/2006/relationships/hyperlink" Target="evidence\screenshots\Hari-7\2026-10-19_Hari-7_modul_dashboard-utama.png" TargetMode="External"/><Relationship Id="rId12" Type="http://schemas.openxmlformats.org/officeDocument/2006/relationships/hyperlink" Target="evidence/screenshots/Hari-10/2026-10-21_Hari-10_final-dashboard_devices-management.png" TargetMode="External"/><Relationship Id="rId17" Type="http://schemas.openxmlformats.org/officeDocument/2006/relationships/hyperlink" Target="evidence/screenshots/Hari-10/2026-10-21_Hari-10_final-dashboard_reports-export.png" TargetMode="External"/><Relationship Id="rId2" Type="http://schemas.openxmlformats.org/officeDocument/2006/relationships/hyperlink" Target="evidence\screenshots\Hari-5\2026-10-16_retest_BUG-002_pass.png" TargetMode="External"/><Relationship Id="rId16" Type="http://schemas.openxmlformats.org/officeDocument/2006/relationships/hyperlink" Target="evidence/screenshots/Hari-10/2026-10-21_Hari-10_final-dashboard_desktop-1080p.png" TargetMode="External"/><Relationship Id="rId1" Type="http://schemas.openxmlformats.org/officeDocument/2006/relationships/hyperlink" Target="evidence\screenshots\Hari-3\2026-10-14_retest_BUG-001_pass.png" TargetMode="External"/><Relationship Id="rId6" Type="http://schemas.openxmlformats.org/officeDocument/2006/relationships/hyperlink" Target="evidence\screenshots\Hari-7\2026-10-19_Hari-7_modul_portal-login.png" TargetMode="External"/><Relationship Id="rId11" Type="http://schemas.openxmlformats.org/officeDocument/2006/relationships/hyperlink" Target="evidence/screenshots/Hari-10/2026-10-21_Hari-10_final-dashboard_reports-export.png" TargetMode="External"/><Relationship Id="rId5" Type="http://schemas.openxmlformats.org/officeDocument/2006/relationships/hyperlink" Target="evidence\screenshots\Hari-6\2026-10-18_BUG-005_zip-corrupt.png" TargetMode="External"/><Relationship Id="rId15" Type="http://schemas.openxmlformats.org/officeDocument/2006/relationships/hyperlink" Target="evidence/screenshots/Hari-10/2026-10-21_Hari-10_final-dashboard_desktop-1080p.png" TargetMode="External"/><Relationship Id="rId10" Type="http://schemas.openxmlformats.org/officeDocument/2006/relationships/hyperlink" Target="evidence\screenshots\Hari-7\2026-10-19_Hari-7_modul_dashboard-utama.png" TargetMode="External"/><Relationship Id="rId4" Type="http://schemas.openxmlformats.org/officeDocument/2006/relationships/hyperlink" Target="evidence\screenshots\Hari-5\2026-10-16_retest_BUG-004_pass.png" TargetMode="External"/><Relationship Id="rId9" Type="http://schemas.openxmlformats.org/officeDocument/2006/relationships/hyperlink" Target="evidence\screenshots\Hari-7\2026-10-19_Hari-7_modul_modal-detail-perangkat.png" TargetMode="External"/><Relationship Id="rId14" Type="http://schemas.openxmlformats.org/officeDocument/2006/relationships/hyperlink" Target="evidence/screenshots/Hari-10/2026-10-21_Hari-10_final-dashboard_desktop-1080p.pn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test-reports/2026-10-20_Hari-9.md" TargetMode="External"/><Relationship Id="rId13" Type="http://schemas.openxmlformats.org/officeDocument/2006/relationships/hyperlink" Target="test-reports/2026-10-15_Hari-4.md" TargetMode="External"/><Relationship Id="rId3" Type="http://schemas.openxmlformats.org/officeDocument/2006/relationships/hyperlink" Target="test-reports/2026-10-25_Hari-14.md" TargetMode="External"/><Relationship Id="rId7" Type="http://schemas.openxmlformats.org/officeDocument/2006/relationships/hyperlink" Target="test-reports/2026-10-21_Hari-10.md" TargetMode="External"/><Relationship Id="rId12" Type="http://schemas.openxmlformats.org/officeDocument/2006/relationships/hyperlink" Target="test-reports/2026-10-16_Hari-5.md" TargetMode="External"/><Relationship Id="rId17" Type="http://schemas.openxmlformats.org/officeDocument/2006/relationships/printerSettings" Target="../printerSettings/printerSettings2.bin"/><Relationship Id="rId2" Type="http://schemas.openxmlformats.org/officeDocument/2006/relationships/hyperlink" Target="test-reports/2026-10-26_Hari-15.md" TargetMode="External"/><Relationship Id="rId16" Type="http://schemas.openxmlformats.org/officeDocument/2006/relationships/hyperlink" Target="test-reports/2026-10-12_Hari-1.md" TargetMode="External"/><Relationship Id="rId1" Type="http://schemas.openxmlformats.org/officeDocument/2006/relationships/hyperlink" Target="test-reports/2026-10-27_Hari-16.md" TargetMode="External"/><Relationship Id="rId6" Type="http://schemas.openxmlformats.org/officeDocument/2006/relationships/hyperlink" Target="test-reports/2026-10-22_Hari-11.md" TargetMode="External"/><Relationship Id="rId11" Type="http://schemas.openxmlformats.org/officeDocument/2006/relationships/hyperlink" Target="test-reports/2026-10-17_Hari-6.md" TargetMode="External"/><Relationship Id="rId5" Type="http://schemas.openxmlformats.org/officeDocument/2006/relationships/hyperlink" Target="test-reports/2026-10-23_Hari-12.md" TargetMode="External"/><Relationship Id="rId15" Type="http://schemas.openxmlformats.org/officeDocument/2006/relationships/hyperlink" Target="test-reports/2026-10-13_Hari-2.md" TargetMode="External"/><Relationship Id="rId10" Type="http://schemas.openxmlformats.org/officeDocument/2006/relationships/hyperlink" Target="test-reports/2026-10-18_Hari-7.md" TargetMode="External"/><Relationship Id="rId4" Type="http://schemas.openxmlformats.org/officeDocument/2006/relationships/hyperlink" Target="test-reports/2026-10-24_Hari-13.md" TargetMode="External"/><Relationship Id="rId9" Type="http://schemas.openxmlformats.org/officeDocument/2006/relationships/hyperlink" Target="test-reports/2026-10-19_Hari-7.md" TargetMode="External"/><Relationship Id="rId14" Type="http://schemas.openxmlformats.org/officeDocument/2006/relationships/hyperlink" Target="test-reports/2026-10-14_Hari-3.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8"/>
  <sheetViews>
    <sheetView topLeftCell="H1" zoomScale="70" zoomScaleNormal="70" workbookViewId="0">
      <pane ySplit="1" topLeftCell="A2" activePane="bottomLeft" state="frozenSplit"/>
      <selection activeCell="R18" sqref="R18"/>
      <selection pane="bottomLeft" activeCell="R18" sqref="R18"/>
    </sheetView>
  </sheetViews>
  <sheetFormatPr defaultRowHeight="15" x14ac:dyDescent="0.25"/>
  <cols>
    <col min="1" max="1" width="14.7109375" customWidth="1"/>
    <col min="2" max="2" width="8.7109375" customWidth="1"/>
    <col min="3" max="3" width="22.7109375" customWidth="1"/>
    <col min="4" max="4" width="32.7109375" customWidth="1"/>
    <col min="5" max="5" width="24.7109375" customWidth="1"/>
    <col min="6" max="6" width="12.7109375" customWidth="1"/>
    <col min="7" max="7" width="30.7109375" customWidth="1"/>
    <col min="8" max="8" width="44.7109375" customWidth="1"/>
    <col min="9" max="10" width="36.7109375" customWidth="1"/>
    <col min="11" max="13" width="12.7109375" customWidth="1"/>
    <col min="14" max="14" width="40.7109375" customWidth="1"/>
    <col min="15" max="15" width="20.7109375" customWidth="1"/>
    <col min="16" max="16" width="14.7109375" customWidth="1"/>
    <col min="17" max="17" width="20.7109375" customWidth="1"/>
    <col min="18" max="18" width="30.7109375" customWidth="1"/>
  </cols>
  <sheetData>
    <row r="1" spans="1:18" s="1" customFormat="1" ht="15.75"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row>
    <row r="2" spans="1:18" ht="42.75" x14ac:dyDescent="0.25">
      <c r="A2" s="34" t="s">
        <v>18</v>
      </c>
      <c r="B2" s="35"/>
      <c r="C2" s="36" t="s">
        <v>19</v>
      </c>
      <c r="D2" s="36" t="s">
        <v>20</v>
      </c>
      <c r="E2" s="35" t="s">
        <v>21</v>
      </c>
      <c r="F2" s="37" t="s">
        <v>22</v>
      </c>
      <c r="G2" s="36" t="s">
        <v>23</v>
      </c>
      <c r="H2" s="36" t="s">
        <v>24</v>
      </c>
      <c r="I2" s="36" t="s">
        <v>25</v>
      </c>
      <c r="J2" s="38" t="s">
        <v>26</v>
      </c>
      <c r="K2" s="39" t="s">
        <v>27</v>
      </c>
      <c r="L2" s="35" t="s">
        <v>28</v>
      </c>
      <c r="M2" s="35"/>
      <c r="N2" s="36"/>
      <c r="O2" s="35" t="s">
        <v>29</v>
      </c>
      <c r="P2" s="35" t="s">
        <v>30</v>
      </c>
      <c r="Q2" s="35"/>
      <c r="R2" s="36" t="s">
        <v>31</v>
      </c>
    </row>
    <row r="3" spans="1:18" ht="24" customHeight="1" x14ac:dyDescent="0.25">
      <c r="A3" s="40" t="s">
        <v>32</v>
      </c>
      <c r="B3" s="41">
        <v>8</v>
      </c>
      <c r="C3" s="42" t="s">
        <v>19</v>
      </c>
      <c r="D3" s="42" t="s">
        <v>33</v>
      </c>
      <c r="E3" s="41" t="s">
        <v>21</v>
      </c>
      <c r="F3" s="37" t="s">
        <v>22</v>
      </c>
      <c r="G3" s="42"/>
      <c r="H3" s="42"/>
      <c r="I3" s="42" t="s">
        <v>34</v>
      </c>
      <c r="J3" s="42" t="s">
        <v>35</v>
      </c>
      <c r="K3" s="39" t="s">
        <v>27</v>
      </c>
      <c r="L3" s="41" t="s">
        <v>28</v>
      </c>
      <c r="M3" s="41"/>
      <c r="N3" s="42"/>
      <c r="O3" s="41" t="s">
        <v>29</v>
      </c>
      <c r="P3" s="41" t="s">
        <v>36</v>
      </c>
      <c r="Q3" s="43"/>
      <c r="R3" s="42" t="s">
        <v>37</v>
      </c>
    </row>
    <row r="4" spans="1:18" ht="24" customHeight="1" x14ac:dyDescent="0.25">
      <c r="A4" s="44" t="s">
        <v>38</v>
      </c>
      <c r="B4" s="35">
        <v>8</v>
      </c>
      <c r="C4" s="36" t="s">
        <v>19</v>
      </c>
      <c r="D4" s="36" t="s">
        <v>39</v>
      </c>
      <c r="E4" s="35" t="s">
        <v>21</v>
      </c>
      <c r="F4" s="37" t="s">
        <v>22</v>
      </c>
      <c r="G4" s="36" t="s">
        <v>40</v>
      </c>
      <c r="H4" s="36"/>
      <c r="I4" s="36" t="s">
        <v>41</v>
      </c>
      <c r="J4" s="36" t="s">
        <v>42</v>
      </c>
      <c r="K4" s="39" t="s">
        <v>27</v>
      </c>
      <c r="L4" s="35" t="s">
        <v>28</v>
      </c>
      <c r="M4" s="35"/>
      <c r="N4" s="36"/>
      <c r="O4" s="35" t="s">
        <v>29</v>
      </c>
      <c r="P4" s="35"/>
      <c r="Q4" s="45"/>
      <c r="R4" s="46"/>
    </row>
    <row r="5" spans="1:18" ht="24" customHeight="1" x14ac:dyDescent="0.25">
      <c r="A5" s="40" t="s">
        <v>43</v>
      </c>
      <c r="B5" s="41">
        <v>8</v>
      </c>
      <c r="C5" s="42" t="s">
        <v>19</v>
      </c>
      <c r="D5" s="42" t="s">
        <v>44</v>
      </c>
      <c r="E5" s="41" t="s">
        <v>45</v>
      </c>
      <c r="F5" s="37" t="s">
        <v>22</v>
      </c>
      <c r="G5" s="42"/>
      <c r="H5" s="42"/>
      <c r="I5" s="42" t="s">
        <v>46</v>
      </c>
      <c r="J5" s="42" t="s">
        <v>47</v>
      </c>
      <c r="K5" s="39" t="s">
        <v>27</v>
      </c>
      <c r="L5" s="41" t="s">
        <v>28</v>
      </c>
      <c r="M5" s="41"/>
      <c r="N5" s="42"/>
      <c r="O5" s="41" t="s">
        <v>29</v>
      </c>
      <c r="P5" s="41"/>
      <c r="Q5" s="43"/>
      <c r="R5" s="47"/>
    </row>
    <row r="6" spans="1:18" ht="24" customHeight="1" x14ac:dyDescent="0.25">
      <c r="A6" s="44" t="s">
        <v>48</v>
      </c>
      <c r="B6" s="35">
        <v>8</v>
      </c>
      <c r="C6" s="36" t="s">
        <v>19</v>
      </c>
      <c r="D6" s="36" t="s">
        <v>49</v>
      </c>
      <c r="E6" s="35" t="s">
        <v>45</v>
      </c>
      <c r="F6" s="37" t="s">
        <v>22</v>
      </c>
      <c r="G6" s="36"/>
      <c r="H6" s="36"/>
      <c r="I6" s="36" t="s">
        <v>50</v>
      </c>
      <c r="J6" s="36" t="s">
        <v>51</v>
      </c>
      <c r="K6" s="39" t="s">
        <v>27</v>
      </c>
      <c r="L6" s="35" t="s">
        <v>28</v>
      </c>
      <c r="M6" s="35"/>
      <c r="N6" s="36"/>
      <c r="O6" s="35" t="s">
        <v>29</v>
      </c>
      <c r="P6" s="35"/>
      <c r="Q6" s="45"/>
      <c r="R6" s="46"/>
    </row>
    <row r="7" spans="1:18" ht="24" customHeight="1" x14ac:dyDescent="0.25">
      <c r="A7" s="40" t="s">
        <v>52</v>
      </c>
      <c r="B7" s="41">
        <v>9</v>
      </c>
      <c r="C7" s="42" t="s">
        <v>19</v>
      </c>
      <c r="D7" s="42" t="s">
        <v>53</v>
      </c>
      <c r="E7" s="41" t="s">
        <v>21</v>
      </c>
      <c r="F7" s="37" t="s">
        <v>22</v>
      </c>
      <c r="G7" s="42"/>
      <c r="H7" s="42"/>
      <c r="I7" s="42" t="s">
        <v>54</v>
      </c>
      <c r="J7" s="42" t="s">
        <v>55</v>
      </c>
      <c r="K7" s="39" t="s">
        <v>27</v>
      </c>
      <c r="L7" s="41" t="s">
        <v>28</v>
      </c>
      <c r="M7" s="41"/>
      <c r="N7" s="42"/>
      <c r="O7" s="41" t="s">
        <v>29</v>
      </c>
      <c r="P7" s="48" t="s">
        <v>56</v>
      </c>
      <c r="Q7" s="43"/>
      <c r="R7" s="47"/>
    </row>
    <row r="8" spans="1:18" ht="24" customHeight="1" x14ac:dyDescent="0.25">
      <c r="A8" s="44" t="s">
        <v>57</v>
      </c>
      <c r="B8" s="35">
        <v>9</v>
      </c>
      <c r="C8" s="36" t="s">
        <v>19</v>
      </c>
      <c r="D8" s="36" t="s">
        <v>58</v>
      </c>
      <c r="E8" s="35" t="s">
        <v>21</v>
      </c>
      <c r="F8" s="37" t="s">
        <v>22</v>
      </c>
      <c r="G8" s="36"/>
      <c r="H8" s="36"/>
      <c r="I8" s="36" t="s">
        <v>59</v>
      </c>
      <c r="J8" s="36" t="s">
        <v>60</v>
      </c>
      <c r="K8" s="39" t="s">
        <v>27</v>
      </c>
      <c r="L8" s="35" t="s">
        <v>28</v>
      </c>
      <c r="M8" s="35"/>
      <c r="N8" s="36"/>
      <c r="O8" s="35" t="s">
        <v>29</v>
      </c>
      <c r="P8" s="35"/>
      <c r="Q8" s="45"/>
      <c r="R8" s="46"/>
    </row>
    <row r="9" spans="1:18" ht="24" customHeight="1" x14ac:dyDescent="0.25">
      <c r="A9" s="40" t="s">
        <v>61</v>
      </c>
      <c r="B9" s="41">
        <v>9</v>
      </c>
      <c r="C9" s="42" t="s">
        <v>19</v>
      </c>
      <c r="D9" s="42" t="s">
        <v>62</v>
      </c>
      <c r="E9" s="41" t="s">
        <v>63</v>
      </c>
      <c r="F9" s="37" t="s">
        <v>64</v>
      </c>
      <c r="G9" s="42"/>
      <c r="H9" s="42"/>
      <c r="I9" s="42" t="s">
        <v>46</v>
      </c>
      <c r="J9" s="42" t="s">
        <v>65</v>
      </c>
      <c r="K9" s="39" t="s">
        <v>27</v>
      </c>
      <c r="L9" s="41" t="s">
        <v>28</v>
      </c>
      <c r="M9" s="41"/>
      <c r="N9" s="42"/>
      <c r="O9" s="41" t="s">
        <v>29</v>
      </c>
      <c r="P9" s="41"/>
      <c r="Q9" s="43"/>
      <c r="R9" s="47"/>
    </row>
    <row r="10" spans="1:18" ht="24" customHeight="1" x14ac:dyDescent="0.25">
      <c r="A10" s="44" t="s">
        <v>66</v>
      </c>
      <c r="B10" s="35">
        <v>9</v>
      </c>
      <c r="C10" s="36" t="s">
        <v>19</v>
      </c>
      <c r="D10" s="36" t="s">
        <v>67</v>
      </c>
      <c r="E10" s="35" t="s">
        <v>45</v>
      </c>
      <c r="F10" s="37" t="s">
        <v>22</v>
      </c>
      <c r="G10" s="36"/>
      <c r="H10" s="36"/>
      <c r="I10" s="36" t="s">
        <v>68</v>
      </c>
      <c r="J10" s="36" t="s">
        <v>69</v>
      </c>
      <c r="K10" s="39" t="s">
        <v>27</v>
      </c>
      <c r="L10" s="35" t="s">
        <v>28</v>
      </c>
      <c r="M10" s="35"/>
      <c r="N10" s="36"/>
      <c r="O10" s="35" t="s">
        <v>29</v>
      </c>
      <c r="P10" s="35"/>
      <c r="Q10" s="45"/>
      <c r="R10" s="36" t="s">
        <v>37</v>
      </c>
    </row>
    <row r="11" spans="1:18" ht="42.75" x14ac:dyDescent="0.25">
      <c r="A11" s="40" t="s">
        <v>70</v>
      </c>
      <c r="B11" s="41">
        <v>9</v>
      </c>
      <c r="C11" s="42" t="s">
        <v>19</v>
      </c>
      <c r="D11" s="42" t="s">
        <v>71</v>
      </c>
      <c r="E11" s="41" t="s">
        <v>63</v>
      </c>
      <c r="F11" s="37" t="s">
        <v>64</v>
      </c>
      <c r="G11" s="42" t="s">
        <v>72</v>
      </c>
      <c r="H11" s="42" t="s">
        <v>73</v>
      </c>
      <c r="I11" s="42" t="s">
        <v>74</v>
      </c>
      <c r="J11" s="42" t="s">
        <v>75</v>
      </c>
      <c r="K11" s="39" t="s">
        <v>27</v>
      </c>
      <c r="L11" s="41" t="s">
        <v>28</v>
      </c>
      <c r="M11" s="41"/>
      <c r="N11" s="42"/>
      <c r="O11" s="41" t="s">
        <v>29</v>
      </c>
      <c r="P11" s="41" t="s">
        <v>36</v>
      </c>
      <c r="Q11" s="43"/>
      <c r="R11" s="42" t="s">
        <v>76</v>
      </c>
    </row>
    <row r="12" spans="1:18" ht="28.5" x14ac:dyDescent="0.25">
      <c r="A12" s="44" t="s">
        <v>77</v>
      </c>
      <c r="B12" s="35">
        <v>10</v>
      </c>
      <c r="C12" s="36" t="s">
        <v>19</v>
      </c>
      <c r="D12" s="36" t="s">
        <v>71</v>
      </c>
      <c r="E12" s="35" t="s">
        <v>63</v>
      </c>
      <c r="F12" s="37" t="s">
        <v>64</v>
      </c>
      <c r="G12" s="46"/>
      <c r="H12" s="46"/>
      <c r="I12" s="36" t="s">
        <v>74</v>
      </c>
      <c r="J12" s="36" t="s">
        <v>78</v>
      </c>
      <c r="K12" s="49" t="s">
        <v>27</v>
      </c>
      <c r="L12" s="44" t="s">
        <v>28</v>
      </c>
      <c r="M12" s="45"/>
      <c r="N12" s="50" t="s">
        <v>79</v>
      </c>
      <c r="O12" s="35" t="s">
        <v>29</v>
      </c>
      <c r="P12" s="35" t="s">
        <v>80</v>
      </c>
      <c r="Q12" s="45"/>
      <c r="R12" s="36" t="s">
        <v>81</v>
      </c>
    </row>
    <row r="13" spans="1:18" ht="42.75" x14ac:dyDescent="0.25">
      <c r="A13" s="41" t="s">
        <v>82</v>
      </c>
      <c r="B13" s="41">
        <v>13</v>
      </c>
      <c r="C13" s="42" t="s">
        <v>83</v>
      </c>
      <c r="D13" s="42" t="s">
        <v>84</v>
      </c>
      <c r="E13" s="41" t="s">
        <v>21</v>
      </c>
      <c r="F13" s="37" t="s">
        <v>22</v>
      </c>
      <c r="G13" s="42" t="s">
        <v>85</v>
      </c>
      <c r="H13" s="42" t="s">
        <v>86</v>
      </c>
      <c r="I13" s="42" t="s">
        <v>87</v>
      </c>
      <c r="J13" s="42" t="s">
        <v>88</v>
      </c>
      <c r="K13" s="39" t="s">
        <v>27</v>
      </c>
      <c r="L13" s="43"/>
      <c r="M13" s="43"/>
      <c r="N13" s="51" t="s">
        <v>89</v>
      </c>
      <c r="O13" s="41" t="s">
        <v>29</v>
      </c>
      <c r="P13" s="52" t="s">
        <v>90</v>
      </c>
      <c r="Q13" s="43"/>
      <c r="R13" s="47"/>
    </row>
    <row r="14" spans="1:18" ht="42.75" x14ac:dyDescent="0.25">
      <c r="A14" s="35" t="s">
        <v>91</v>
      </c>
      <c r="B14" s="35">
        <v>13</v>
      </c>
      <c r="C14" s="36" t="s">
        <v>83</v>
      </c>
      <c r="D14" s="36" t="s">
        <v>92</v>
      </c>
      <c r="E14" s="35" t="s">
        <v>21</v>
      </c>
      <c r="F14" s="37" t="s">
        <v>22</v>
      </c>
      <c r="G14" s="36" t="s">
        <v>93</v>
      </c>
      <c r="H14" s="36" t="s">
        <v>94</v>
      </c>
      <c r="I14" s="36" t="s">
        <v>95</v>
      </c>
      <c r="J14" s="36" t="s">
        <v>96</v>
      </c>
      <c r="K14" s="39" t="s">
        <v>27</v>
      </c>
      <c r="L14" s="45"/>
      <c r="M14" s="45"/>
      <c r="N14" s="50" t="s">
        <v>97</v>
      </c>
      <c r="O14" s="35" t="s">
        <v>29</v>
      </c>
      <c r="P14" s="53" t="s">
        <v>90</v>
      </c>
      <c r="Q14" s="45"/>
      <c r="R14" s="46"/>
    </row>
    <row r="15" spans="1:18" ht="42.75" x14ac:dyDescent="0.25">
      <c r="A15" s="41" t="s">
        <v>98</v>
      </c>
      <c r="B15" s="41">
        <v>13</v>
      </c>
      <c r="C15" s="42" t="s">
        <v>83</v>
      </c>
      <c r="D15" s="42" t="s">
        <v>99</v>
      </c>
      <c r="E15" s="41" t="s">
        <v>21</v>
      </c>
      <c r="F15" s="37" t="s">
        <v>22</v>
      </c>
      <c r="G15" s="42" t="s">
        <v>93</v>
      </c>
      <c r="H15" s="42" t="s">
        <v>100</v>
      </c>
      <c r="I15" s="42" t="s">
        <v>101</v>
      </c>
      <c r="J15" s="42" t="s">
        <v>102</v>
      </c>
      <c r="K15" s="39" t="s">
        <v>27</v>
      </c>
      <c r="L15" s="43"/>
      <c r="M15" s="43"/>
      <c r="N15" s="51" t="s">
        <v>103</v>
      </c>
      <c r="O15" s="41" t="s">
        <v>29</v>
      </c>
      <c r="P15" s="52" t="s">
        <v>90</v>
      </c>
      <c r="Q15" s="43"/>
      <c r="R15" s="47"/>
    </row>
    <row r="16" spans="1:18" ht="42.75" x14ac:dyDescent="0.25">
      <c r="A16" s="35" t="s">
        <v>104</v>
      </c>
      <c r="B16" s="35">
        <v>13</v>
      </c>
      <c r="C16" s="36" t="s">
        <v>83</v>
      </c>
      <c r="D16" s="36" t="s">
        <v>105</v>
      </c>
      <c r="E16" s="35" t="s">
        <v>21</v>
      </c>
      <c r="F16" s="37" t="s">
        <v>22</v>
      </c>
      <c r="G16" s="36" t="s">
        <v>93</v>
      </c>
      <c r="H16" s="36" t="s">
        <v>106</v>
      </c>
      <c r="I16" s="36" t="s">
        <v>107</v>
      </c>
      <c r="J16" s="36" t="s">
        <v>108</v>
      </c>
      <c r="K16" s="39" t="s">
        <v>27</v>
      </c>
      <c r="L16" s="45"/>
      <c r="M16" s="45"/>
      <c r="N16" s="50" t="s">
        <v>109</v>
      </c>
      <c r="O16" s="35" t="s">
        <v>29</v>
      </c>
      <c r="P16" s="53" t="s">
        <v>90</v>
      </c>
      <c r="Q16" s="45"/>
      <c r="R16" s="46"/>
    </row>
    <row r="17" spans="1:18" ht="42.75" x14ac:dyDescent="0.25">
      <c r="A17" s="41" t="s">
        <v>110</v>
      </c>
      <c r="B17" s="41">
        <v>13</v>
      </c>
      <c r="C17" s="42" t="s">
        <v>83</v>
      </c>
      <c r="D17" s="42" t="s">
        <v>111</v>
      </c>
      <c r="E17" s="41" t="s">
        <v>21</v>
      </c>
      <c r="F17" s="37" t="s">
        <v>22</v>
      </c>
      <c r="G17" s="42" t="s">
        <v>112</v>
      </c>
      <c r="H17" s="42" t="s">
        <v>113</v>
      </c>
      <c r="I17" s="42" t="s">
        <v>114</v>
      </c>
      <c r="J17" s="42" t="s">
        <v>115</v>
      </c>
      <c r="K17" s="39" t="s">
        <v>27</v>
      </c>
      <c r="L17" s="43"/>
      <c r="M17" s="43"/>
      <c r="N17" s="51" t="s">
        <v>116</v>
      </c>
      <c r="O17" s="41" t="s">
        <v>29</v>
      </c>
      <c r="P17" s="52" t="s">
        <v>90</v>
      </c>
      <c r="Q17" s="43"/>
      <c r="R17" s="47"/>
    </row>
    <row r="18" spans="1:18" ht="42.75" x14ac:dyDescent="0.25">
      <c r="A18" s="35" t="s">
        <v>117</v>
      </c>
      <c r="B18" s="35">
        <v>13</v>
      </c>
      <c r="C18" s="36" t="s">
        <v>83</v>
      </c>
      <c r="D18" s="36" t="s">
        <v>118</v>
      </c>
      <c r="E18" s="35" t="s">
        <v>21</v>
      </c>
      <c r="F18" s="37" t="s">
        <v>22</v>
      </c>
      <c r="G18" s="36" t="s">
        <v>119</v>
      </c>
      <c r="H18" s="36" t="s">
        <v>120</v>
      </c>
      <c r="I18" s="36" t="s">
        <v>121</v>
      </c>
      <c r="J18" s="36" t="s">
        <v>122</v>
      </c>
      <c r="K18" s="39" t="s">
        <v>27</v>
      </c>
      <c r="L18" s="45"/>
      <c r="M18" s="45"/>
      <c r="N18" s="50" t="s">
        <v>123</v>
      </c>
      <c r="O18" s="35" t="s">
        <v>29</v>
      </c>
      <c r="P18" s="53" t="s">
        <v>90</v>
      </c>
      <c r="Q18" s="45"/>
      <c r="R18" s="46" t="s">
        <v>1118</v>
      </c>
    </row>
    <row r="19" spans="1:18" ht="42.75" x14ac:dyDescent="0.25">
      <c r="A19" s="41" t="s">
        <v>124</v>
      </c>
      <c r="B19" s="41">
        <v>13</v>
      </c>
      <c r="C19" s="42" t="s">
        <v>83</v>
      </c>
      <c r="D19" s="42" t="s">
        <v>125</v>
      </c>
      <c r="E19" s="41" t="s">
        <v>21</v>
      </c>
      <c r="F19" s="37" t="s">
        <v>22</v>
      </c>
      <c r="G19" s="42" t="s">
        <v>93</v>
      </c>
      <c r="H19" s="42" t="s">
        <v>126</v>
      </c>
      <c r="I19" s="42" t="s">
        <v>127</v>
      </c>
      <c r="J19" s="42" t="s">
        <v>128</v>
      </c>
      <c r="K19" s="39" t="s">
        <v>27</v>
      </c>
      <c r="L19" s="43"/>
      <c r="M19" s="43"/>
      <c r="N19" s="51" t="s">
        <v>129</v>
      </c>
      <c r="O19" s="41" t="s">
        <v>29</v>
      </c>
      <c r="P19" s="52" t="s">
        <v>90</v>
      </c>
      <c r="Q19" s="43"/>
      <c r="R19" s="47"/>
    </row>
    <row r="20" spans="1:18" ht="42.75" x14ac:dyDescent="0.25">
      <c r="A20" s="35" t="s">
        <v>130</v>
      </c>
      <c r="B20" s="35">
        <v>13</v>
      </c>
      <c r="C20" s="36" t="s">
        <v>83</v>
      </c>
      <c r="D20" s="36" t="s">
        <v>131</v>
      </c>
      <c r="E20" s="35" t="s">
        <v>21</v>
      </c>
      <c r="F20" s="37" t="s">
        <v>22</v>
      </c>
      <c r="G20" s="36" t="s">
        <v>112</v>
      </c>
      <c r="H20" s="36" t="s">
        <v>132</v>
      </c>
      <c r="I20" s="36" t="s">
        <v>133</v>
      </c>
      <c r="J20" s="36" t="s">
        <v>134</v>
      </c>
      <c r="K20" s="39" t="s">
        <v>27</v>
      </c>
      <c r="L20" s="45"/>
      <c r="M20" s="45"/>
      <c r="N20" s="50" t="s">
        <v>135</v>
      </c>
      <c r="O20" s="35" t="s">
        <v>29</v>
      </c>
      <c r="P20" s="53" t="s">
        <v>90</v>
      </c>
      <c r="Q20" s="45"/>
      <c r="R20" s="46"/>
    </row>
    <row r="21" spans="1:18" ht="42.75" x14ac:dyDescent="0.25">
      <c r="A21" s="41" t="s">
        <v>136</v>
      </c>
      <c r="B21" s="41">
        <v>13</v>
      </c>
      <c r="C21" s="42" t="s">
        <v>83</v>
      </c>
      <c r="D21" s="42" t="s">
        <v>137</v>
      </c>
      <c r="E21" s="41" t="s">
        <v>21</v>
      </c>
      <c r="F21" s="37" t="s">
        <v>22</v>
      </c>
      <c r="G21" s="42" t="s">
        <v>93</v>
      </c>
      <c r="H21" s="42" t="s">
        <v>138</v>
      </c>
      <c r="I21" s="42" t="s">
        <v>139</v>
      </c>
      <c r="J21" s="42" t="s">
        <v>140</v>
      </c>
      <c r="K21" s="39" t="s">
        <v>27</v>
      </c>
      <c r="L21" s="43"/>
      <c r="M21" s="43"/>
      <c r="N21" s="51" t="s">
        <v>141</v>
      </c>
      <c r="O21" s="41" t="s">
        <v>29</v>
      </c>
      <c r="P21" s="52" t="s">
        <v>90</v>
      </c>
      <c r="Q21" s="43"/>
      <c r="R21" s="47"/>
    </row>
    <row r="22" spans="1:18" ht="28.5" x14ac:dyDescent="0.25">
      <c r="A22" s="35" t="s">
        <v>142</v>
      </c>
      <c r="B22" s="35">
        <v>13</v>
      </c>
      <c r="C22" s="36" t="s">
        <v>83</v>
      </c>
      <c r="D22" s="36" t="s">
        <v>143</v>
      </c>
      <c r="E22" s="35" t="s">
        <v>21</v>
      </c>
      <c r="F22" s="37" t="s">
        <v>22</v>
      </c>
      <c r="G22" s="36" t="s">
        <v>93</v>
      </c>
      <c r="H22" s="36" t="s">
        <v>144</v>
      </c>
      <c r="I22" s="36" t="s">
        <v>145</v>
      </c>
      <c r="J22" s="36" t="s">
        <v>146</v>
      </c>
      <c r="K22" s="39" t="s">
        <v>27</v>
      </c>
      <c r="L22" s="45"/>
      <c r="M22" s="45"/>
      <c r="N22" s="50" t="s">
        <v>147</v>
      </c>
      <c r="O22" s="35" t="s">
        <v>29</v>
      </c>
      <c r="P22" s="53" t="s">
        <v>90</v>
      </c>
      <c r="Q22" s="45"/>
      <c r="R22" s="46"/>
    </row>
    <row r="23" spans="1:18" ht="28.5" x14ac:dyDescent="0.25">
      <c r="A23" s="41" t="s">
        <v>148</v>
      </c>
      <c r="B23" s="41">
        <v>13</v>
      </c>
      <c r="C23" s="42" t="s">
        <v>83</v>
      </c>
      <c r="D23" s="42" t="s">
        <v>149</v>
      </c>
      <c r="E23" s="41" t="s">
        <v>21</v>
      </c>
      <c r="F23" s="37" t="s">
        <v>22</v>
      </c>
      <c r="G23" s="42" t="s">
        <v>93</v>
      </c>
      <c r="H23" s="42" t="s">
        <v>150</v>
      </c>
      <c r="I23" s="42" t="s">
        <v>151</v>
      </c>
      <c r="J23" s="42" t="s">
        <v>152</v>
      </c>
      <c r="K23" s="39" t="s">
        <v>27</v>
      </c>
      <c r="L23" s="43"/>
      <c r="M23" s="43"/>
      <c r="N23" s="51" t="s">
        <v>153</v>
      </c>
      <c r="O23" s="41" t="s">
        <v>29</v>
      </c>
      <c r="P23" s="52" t="s">
        <v>90</v>
      </c>
      <c r="Q23" s="43"/>
      <c r="R23" s="47"/>
    </row>
    <row r="24" spans="1:18" ht="42.75" x14ac:dyDescent="0.25">
      <c r="A24" s="35" t="s">
        <v>154</v>
      </c>
      <c r="B24" s="35">
        <v>13</v>
      </c>
      <c r="C24" s="36" t="s">
        <v>83</v>
      </c>
      <c r="D24" s="36" t="s">
        <v>155</v>
      </c>
      <c r="E24" s="35" t="s">
        <v>21</v>
      </c>
      <c r="F24" s="37" t="s">
        <v>64</v>
      </c>
      <c r="G24" s="36" t="s">
        <v>93</v>
      </c>
      <c r="H24" s="36" t="s">
        <v>156</v>
      </c>
      <c r="I24" s="36" t="s">
        <v>157</v>
      </c>
      <c r="J24" s="36" t="s">
        <v>158</v>
      </c>
      <c r="K24" s="39" t="s">
        <v>27</v>
      </c>
      <c r="L24" s="45"/>
      <c r="M24" s="45"/>
      <c r="N24" s="50" t="s">
        <v>159</v>
      </c>
      <c r="O24" s="35" t="s">
        <v>29</v>
      </c>
      <c r="P24" s="53" t="s">
        <v>90</v>
      </c>
      <c r="Q24" s="45"/>
      <c r="R24" s="46"/>
    </row>
    <row r="25" spans="1:18" ht="28.5" x14ac:dyDescent="0.25">
      <c r="A25" s="41" t="s">
        <v>160</v>
      </c>
      <c r="B25" s="41">
        <v>13</v>
      </c>
      <c r="C25" s="42" t="s">
        <v>83</v>
      </c>
      <c r="D25" s="42" t="s">
        <v>161</v>
      </c>
      <c r="E25" s="41" t="s">
        <v>21</v>
      </c>
      <c r="F25" s="37" t="s">
        <v>22</v>
      </c>
      <c r="G25" s="42" t="s">
        <v>93</v>
      </c>
      <c r="H25" s="42" t="s">
        <v>162</v>
      </c>
      <c r="I25" s="42" t="s">
        <v>163</v>
      </c>
      <c r="J25" s="42" t="s">
        <v>164</v>
      </c>
      <c r="K25" s="39" t="s">
        <v>27</v>
      </c>
      <c r="L25" s="43"/>
      <c r="M25" s="43"/>
      <c r="N25" s="51" t="s">
        <v>165</v>
      </c>
      <c r="O25" s="41" t="s">
        <v>29</v>
      </c>
      <c r="P25" s="52" t="s">
        <v>90</v>
      </c>
      <c r="Q25" s="43"/>
      <c r="R25" s="47"/>
    </row>
    <row r="26" spans="1:18" ht="28.5" x14ac:dyDescent="0.25">
      <c r="A26" s="35" t="s">
        <v>166</v>
      </c>
      <c r="B26" s="35">
        <v>13</v>
      </c>
      <c r="C26" s="36" t="s">
        <v>83</v>
      </c>
      <c r="D26" s="36" t="s">
        <v>167</v>
      </c>
      <c r="E26" s="35" t="s">
        <v>21</v>
      </c>
      <c r="F26" s="37" t="s">
        <v>22</v>
      </c>
      <c r="G26" s="36" t="s">
        <v>93</v>
      </c>
      <c r="H26" s="36" t="s">
        <v>168</v>
      </c>
      <c r="I26" s="36" t="s">
        <v>169</v>
      </c>
      <c r="J26" s="36" t="s">
        <v>170</v>
      </c>
      <c r="K26" s="39" t="s">
        <v>27</v>
      </c>
      <c r="L26" s="45"/>
      <c r="M26" s="45"/>
      <c r="N26" s="50" t="s">
        <v>171</v>
      </c>
      <c r="O26" s="35" t="s">
        <v>29</v>
      </c>
      <c r="P26" s="53" t="s">
        <v>90</v>
      </c>
      <c r="Q26" s="45"/>
      <c r="R26" s="46"/>
    </row>
    <row r="27" spans="1:18" ht="28.5" x14ac:dyDescent="0.25">
      <c r="A27" s="41" t="s">
        <v>172</v>
      </c>
      <c r="B27" s="41">
        <v>13</v>
      </c>
      <c r="C27" s="42" t="s">
        <v>83</v>
      </c>
      <c r="D27" s="42" t="s">
        <v>173</v>
      </c>
      <c r="E27" s="41" t="s">
        <v>21</v>
      </c>
      <c r="F27" s="37" t="s">
        <v>64</v>
      </c>
      <c r="G27" s="42" t="s">
        <v>93</v>
      </c>
      <c r="H27" s="42" t="s">
        <v>174</v>
      </c>
      <c r="I27" s="42" t="s">
        <v>175</v>
      </c>
      <c r="J27" s="42" t="s">
        <v>176</v>
      </c>
      <c r="K27" s="39" t="s">
        <v>27</v>
      </c>
      <c r="L27" s="43"/>
      <c r="M27" s="43"/>
      <c r="N27" s="51" t="s">
        <v>177</v>
      </c>
      <c r="O27" s="41" t="s">
        <v>29</v>
      </c>
      <c r="P27" s="52" t="s">
        <v>90</v>
      </c>
      <c r="Q27" s="43"/>
      <c r="R27" s="47"/>
    </row>
    <row r="28" spans="1:18" ht="57" x14ac:dyDescent="0.25">
      <c r="A28" s="35" t="s">
        <v>178</v>
      </c>
      <c r="B28" s="35">
        <v>27</v>
      </c>
      <c r="C28" s="36" t="s">
        <v>179</v>
      </c>
      <c r="D28" s="36" t="s">
        <v>180</v>
      </c>
      <c r="E28" s="35" t="s">
        <v>181</v>
      </c>
      <c r="F28" s="37" t="s">
        <v>22</v>
      </c>
      <c r="G28" s="36" t="s">
        <v>182</v>
      </c>
      <c r="H28" s="36" t="s">
        <v>183</v>
      </c>
      <c r="I28" s="36" t="s">
        <v>184</v>
      </c>
      <c r="J28" s="36" t="s">
        <v>185</v>
      </c>
      <c r="K28" s="39" t="s">
        <v>27</v>
      </c>
      <c r="L28" s="45"/>
      <c r="M28" s="45"/>
      <c r="N28" s="50" t="s">
        <v>186</v>
      </c>
      <c r="O28" s="35" t="s">
        <v>29</v>
      </c>
      <c r="P28" s="53" t="s">
        <v>187</v>
      </c>
      <c r="Q28" s="45"/>
      <c r="R28" s="46"/>
    </row>
    <row r="29" spans="1:18" ht="57" x14ac:dyDescent="0.25">
      <c r="A29" s="41" t="s">
        <v>188</v>
      </c>
      <c r="B29" s="41">
        <v>27</v>
      </c>
      <c r="C29" s="42" t="s">
        <v>179</v>
      </c>
      <c r="D29" s="42" t="s">
        <v>189</v>
      </c>
      <c r="E29" s="41" t="s">
        <v>181</v>
      </c>
      <c r="F29" s="37" t="s">
        <v>22</v>
      </c>
      <c r="G29" s="42" t="s">
        <v>190</v>
      </c>
      <c r="H29" s="42" t="s">
        <v>191</v>
      </c>
      <c r="I29" s="42" t="s">
        <v>192</v>
      </c>
      <c r="J29" s="42" t="s">
        <v>193</v>
      </c>
      <c r="K29" s="39" t="s">
        <v>27</v>
      </c>
      <c r="L29" s="43"/>
      <c r="M29" s="43"/>
      <c r="N29" s="51" t="s">
        <v>194</v>
      </c>
      <c r="O29" s="41" t="s">
        <v>29</v>
      </c>
      <c r="P29" s="52" t="s">
        <v>187</v>
      </c>
      <c r="Q29" s="43"/>
      <c r="R29" s="47"/>
    </row>
    <row r="30" spans="1:18" ht="42.75" x14ac:dyDescent="0.25">
      <c r="A30" s="35" t="s">
        <v>195</v>
      </c>
      <c r="B30" s="35">
        <v>27</v>
      </c>
      <c r="C30" s="36" t="s">
        <v>179</v>
      </c>
      <c r="D30" s="36" t="s">
        <v>196</v>
      </c>
      <c r="E30" s="35" t="s">
        <v>181</v>
      </c>
      <c r="F30" s="37" t="s">
        <v>22</v>
      </c>
      <c r="G30" s="36" t="s">
        <v>197</v>
      </c>
      <c r="H30" s="36" t="s">
        <v>198</v>
      </c>
      <c r="I30" s="36" t="s">
        <v>199</v>
      </c>
      <c r="J30" s="36" t="s">
        <v>200</v>
      </c>
      <c r="K30" s="39" t="s">
        <v>27</v>
      </c>
      <c r="L30" s="45"/>
      <c r="M30" s="45"/>
      <c r="N30" s="50" t="s">
        <v>201</v>
      </c>
      <c r="O30" s="35" t="s">
        <v>29</v>
      </c>
      <c r="P30" s="53" t="s">
        <v>187</v>
      </c>
      <c r="Q30" s="45"/>
      <c r="R30" s="46"/>
    </row>
    <row r="31" spans="1:18" ht="42.75" x14ac:dyDescent="0.25">
      <c r="A31" s="41" t="s">
        <v>202</v>
      </c>
      <c r="B31" s="41">
        <v>27</v>
      </c>
      <c r="C31" s="42" t="s">
        <v>179</v>
      </c>
      <c r="D31" s="42" t="s">
        <v>203</v>
      </c>
      <c r="E31" s="41" t="s">
        <v>181</v>
      </c>
      <c r="F31" s="37" t="s">
        <v>22</v>
      </c>
      <c r="G31" s="42" t="s">
        <v>204</v>
      </c>
      <c r="H31" s="42" t="s">
        <v>205</v>
      </c>
      <c r="I31" s="42" t="s">
        <v>206</v>
      </c>
      <c r="J31" s="42" t="s">
        <v>207</v>
      </c>
      <c r="K31" s="39" t="s">
        <v>27</v>
      </c>
      <c r="L31" s="43"/>
      <c r="M31" s="43"/>
      <c r="N31" s="51" t="s">
        <v>208</v>
      </c>
      <c r="O31" s="41" t="s">
        <v>29</v>
      </c>
      <c r="P31" s="52" t="s">
        <v>187</v>
      </c>
      <c r="Q31" s="43"/>
      <c r="R31" s="47"/>
    </row>
    <row r="32" spans="1:18" ht="57" x14ac:dyDescent="0.25">
      <c r="A32" s="35" t="s">
        <v>209</v>
      </c>
      <c r="B32" s="35">
        <v>27</v>
      </c>
      <c r="C32" s="36" t="s">
        <v>179</v>
      </c>
      <c r="D32" s="36" t="s">
        <v>210</v>
      </c>
      <c r="E32" s="35" t="s">
        <v>181</v>
      </c>
      <c r="F32" s="37" t="s">
        <v>22</v>
      </c>
      <c r="G32" s="36" t="s">
        <v>211</v>
      </c>
      <c r="H32" s="36" t="s">
        <v>212</v>
      </c>
      <c r="I32" s="36" t="s">
        <v>213</v>
      </c>
      <c r="J32" s="36" t="s">
        <v>214</v>
      </c>
      <c r="K32" s="39" t="s">
        <v>27</v>
      </c>
      <c r="L32" s="45"/>
      <c r="M32" s="45"/>
      <c r="N32" s="50" t="s">
        <v>215</v>
      </c>
      <c r="O32" s="35" t="s">
        <v>29</v>
      </c>
      <c r="P32" s="53" t="s">
        <v>187</v>
      </c>
      <c r="Q32" s="45"/>
      <c r="R32" s="46"/>
    </row>
    <row r="33" spans="1:18" ht="42.75" x14ac:dyDescent="0.25">
      <c r="A33" s="41" t="s">
        <v>216</v>
      </c>
      <c r="B33" s="41">
        <v>27</v>
      </c>
      <c r="C33" s="42" t="s">
        <v>179</v>
      </c>
      <c r="D33" s="42" t="s">
        <v>217</v>
      </c>
      <c r="E33" s="41" t="s">
        <v>181</v>
      </c>
      <c r="F33" s="37" t="s">
        <v>22</v>
      </c>
      <c r="G33" s="42" t="s">
        <v>218</v>
      </c>
      <c r="H33" s="42" t="s">
        <v>219</v>
      </c>
      <c r="I33" s="42" t="s">
        <v>220</v>
      </c>
      <c r="J33" s="42" t="s">
        <v>221</v>
      </c>
      <c r="K33" s="39" t="s">
        <v>27</v>
      </c>
      <c r="L33" s="43"/>
      <c r="M33" s="43"/>
      <c r="N33" s="51" t="s">
        <v>222</v>
      </c>
      <c r="O33" s="41" t="s">
        <v>29</v>
      </c>
      <c r="P33" s="52" t="s">
        <v>187</v>
      </c>
      <c r="Q33" s="43"/>
      <c r="R33" s="47"/>
    </row>
    <row r="34" spans="1:18" ht="42.75" x14ac:dyDescent="0.25">
      <c r="A34" s="35" t="s">
        <v>223</v>
      </c>
      <c r="B34" s="35">
        <v>27</v>
      </c>
      <c r="C34" s="36" t="s">
        <v>179</v>
      </c>
      <c r="D34" s="36" t="s">
        <v>224</v>
      </c>
      <c r="E34" s="35" t="s">
        <v>181</v>
      </c>
      <c r="F34" s="37" t="s">
        <v>22</v>
      </c>
      <c r="G34" s="36" t="s">
        <v>225</v>
      </c>
      <c r="H34" s="36" t="s">
        <v>226</v>
      </c>
      <c r="I34" s="36" t="s">
        <v>227</v>
      </c>
      <c r="J34" s="36"/>
      <c r="K34" s="39"/>
      <c r="L34" s="45"/>
      <c r="M34" s="45"/>
      <c r="N34" s="46"/>
      <c r="O34" s="35" t="s">
        <v>29</v>
      </c>
      <c r="P34" s="53"/>
      <c r="Q34" s="45"/>
      <c r="R34" s="46"/>
    </row>
    <row r="35" spans="1:18" ht="28.5" x14ac:dyDescent="0.25">
      <c r="A35" s="41" t="s">
        <v>228</v>
      </c>
      <c r="B35" s="41">
        <v>27</v>
      </c>
      <c r="C35" s="42" t="s">
        <v>179</v>
      </c>
      <c r="D35" s="42" t="s">
        <v>229</v>
      </c>
      <c r="E35" s="41" t="s">
        <v>21</v>
      </c>
      <c r="F35" s="37" t="s">
        <v>22</v>
      </c>
      <c r="G35" s="42" t="s">
        <v>230</v>
      </c>
      <c r="H35" s="42" t="s">
        <v>231</v>
      </c>
      <c r="I35" s="42" t="s">
        <v>232</v>
      </c>
      <c r="J35" s="42"/>
      <c r="K35" s="39"/>
      <c r="L35" s="43"/>
      <c r="M35" s="43"/>
      <c r="N35" s="47"/>
      <c r="O35" s="41" t="s">
        <v>29</v>
      </c>
      <c r="P35" s="52"/>
      <c r="Q35" s="43"/>
      <c r="R35" s="47"/>
    </row>
    <row r="36" spans="1:18" ht="42.75" x14ac:dyDescent="0.25">
      <c r="A36" s="35" t="s">
        <v>233</v>
      </c>
      <c r="B36" s="35">
        <v>27</v>
      </c>
      <c r="C36" s="36" t="s">
        <v>179</v>
      </c>
      <c r="D36" s="36" t="s">
        <v>234</v>
      </c>
      <c r="E36" s="35" t="s">
        <v>21</v>
      </c>
      <c r="F36" s="37" t="s">
        <v>22</v>
      </c>
      <c r="G36" s="36" t="s">
        <v>235</v>
      </c>
      <c r="H36" s="36" t="s">
        <v>236</v>
      </c>
      <c r="I36" s="36" t="s">
        <v>237</v>
      </c>
      <c r="J36" s="36"/>
      <c r="K36" s="39"/>
      <c r="L36" s="45"/>
      <c r="M36" s="45"/>
      <c r="N36" s="46"/>
      <c r="O36" s="35" t="s">
        <v>29</v>
      </c>
      <c r="P36" s="53"/>
      <c r="Q36" s="45"/>
      <c r="R36" s="46"/>
    </row>
    <row r="37" spans="1:18" ht="28.5" x14ac:dyDescent="0.25">
      <c r="A37" s="41" t="s">
        <v>238</v>
      </c>
      <c r="B37" s="41">
        <v>27</v>
      </c>
      <c r="C37" s="42" t="s">
        <v>179</v>
      </c>
      <c r="D37" s="42" t="s">
        <v>239</v>
      </c>
      <c r="E37" s="41" t="s">
        <v>181</v>
      </c>
      <c r="F37" s="37" t="s">
        <v>22</v>
      </c>
      <c r="G37" s="42" t="s">
        <v>240</v>
      </c>
      <c r="H37" s="42" t="s">
        <v>241</v>
      </c>
      <c r="I37" s="42" t="s">
        <v>242</v>
      </c>
      <c r="J37" s="42"/>
      <c r="K37" s="39"/>
      <c r="L37" s="43"/>
      <c r="M37" s="43"/>
      <c r="N37" s="47"/>
      <c r="O37" s="41" t="s">
        <v>29</v>
      </c>
      <c r="P37" s="52"/>
      <c r="Q37" s="43"/>
      <c r="R37" s="47"/>
    </row>
    <row r="38" spans="1:18" ht="28.5" x14ac:dyDescent="0.25">
      <c r="A38" s="35" t="s">
        <v>243</v>
      </c>
      <c r="B38" s="35">
        <v>27</v>
      </c>
      <c r="C38" s="36" t="s">
        <v>179</v>
      </c>
      <c r="D38" s="36" t="s">
        <v>244</v>
      </c>
      <c r="E38" s="35" t="s">
        <v>181</v>
      </c>
      <c r="F38" s="37" t="s">
        <v>22</v>
      </c>
      <c r="G38" s="36" t="s">
        <v>240</v>
      </c>
      <c r="H38" s="46" t="s">
        <v>245</v>
      </c>
      <c r="I38" s="36" t="s">
        <v>246</v>
      </c>
      <c r="J38" s="36"/>
      <c r="K38" s="39"/>
      <c r="L38" s="45"/>
      <c r="M38" s="45"/>
      <c r="N38" s="46"/>
      <c r="O38" s="35" t="s">
        <v>29</v>
      </c>
      <c r="P38" s="53"/>
      <c r="Q38" s="45"/>
      <c r="R38" s="46"/>
    </row>
    <row r="39" spans="1:18" ht="28.5" x14ac:dyDescent="0.25">
      <c r="A39" s="41" t="s">
        <v>247</v>
      </c>
      <c r="B39" s="41">
        <v>27</v>
      </c>
      <c r="C39" s="42" t="s">
        <v>179</v>
      </c>
      <c r="D39" s="42" t="s">
        <v>248</v>
      </c>
      <c r="E39" s="41" t="s">
        <v>181</v>
      </c>
      <c r="F39" s="37" t="s">
        <v>64</v>
      </c>
      <c r="G39" s="42" t="s">
        <v>249</v>
      </c>
      <c r="H39" s="42" t="s">
        <v>250</v>
      </c>
      <c r="I39" s="42" t="s">
        <v>251</v>
      </c>
      <c r="J39" s="42"/>
      <c r="K39" s="39"/>
      <c r="L39" s="43"/>
      <c r="M39" s="43"/>
      <c r="N39" s="47"/>
      <c r="O39" s="41" t="s">
        <v>29</v>
      </c>
      <c r="P39" s="52"/>
      <c r="Q39" s="43"/>
      <c r="R39" s="47"/>
    </row>
    <row r="40" spans="1:18" ht="42.75" x14ac:dyDescent="0.25">
      <c r="A40" s="35" t="s">
        <v>252</v>
      </c>
      <c r="B40" s="35">
        <v>8</v>
      </c>
      <c r="C40" s="36" t="s">
        <v>253</v>
      </c>
      <c r="D40" s="36" t="s">
        <v>254</v>
      </c>
      <c r="E40" s="35" t="s">
        <v>21</v>
      </c>
      <c r="F40" s="37" t="s">
        <v>22</v>
      </c>
      <c r="G40" s="36" t="s">
        <v>255</v>
      </c>
      <c r="H40" s="36" t="s">
        <v>256</v>
      </c>
      <c r="I40" s="36" t="s">
        <v>257</v>
      </c>
      <c r="J40" s="36" t="s">
        <v>258</v>
      </c>
      <c r="K40" s="39" t="s">
        <v>27</v>
      </c>
      <c r="L40" s="35"/>
      <c r="M40" s="35"/>
      <c r="N40" s="46"/>
      <c r="O40" s="35" t="s">
        <v>29</v>
      </c>
      <c r="P40" s="53" t="s">
        <v>36</v>
      </c>
      <c r="Q40" s="45"/>
      <c r="R40" s="36" t="s">
        <v>37</v>
      </c>
    </row>
    <row r="41" spans="1:18" ht="42.75" x14ac:dyDescent="0.25">
      <c r="A41" s="41" t="s">
        <v>259</v>
      </c>
      <c r="B41" s="41">
        <v>8</v>
      </c>
      <c r="C41" s="42" t="s">
        <v>253</v>
      </c>
      <c r="D41" s="42" t="s">
        <v>260</v>
      </c>
      <c r="E41" s="41" t="s">
        <v>45</v>
      </c>
      <c r="F41" s="37" t="s">
        <v>22</v>
      </c>
      <c r="G41" s="42" t="s">
        <v>255</v>
      </c>
      <c r="H41" s="42" t="s">
        <v>261</v>
      </c>
      <c r="I41" s="42" t="s">
        <v>262</v>
      </c>
      <c r="J41" s="42"/>
      <c r="K41" s="39"/>
      <c r="L41" s="41"/>
      <c r="M41" s="41"/>
      <c r="N41" s="47"/>
      <c r="O41" s="41" t="s">
        <v>29</v>
      </c>
      <c r="P41" s="52"/>
      <c r="Q41" s="43"/>
      <c r="R41" s="47"/>
    </row>
    <row r="42" spans="1:18" ht="42.75" x14ac:dyDescent="0.25">
      <c r="A42" s="35" t="s">
        <v>263</v>
      </c>
      <c r="B42" s="35">
        <v>8</v>
      </c>
      <c r="C42" s="36" t="s">
        <v>253</v>
      </c>
      <c r="D42" s="36" t="s">
        <v>264</v>
      </c>
      <c r="E42" s="35" t="s">
        <v>45</v>
      </c>
      <c r="F42" s="37" t="s">
        <v>22</v>
      </c>
      <c r="G42" s="36" t="s">
        <v>255</v>
      </c>
      <c r="H42" s="36" t="s">
        <v>265</v>
      </c>
      <c r="I42" s="36" t="s">
        <v>266</v>
      </c>
      <c r="J42" s="36"/>
      <c r="K42" s="39"/>
      <c r="L42" s="35"/>
      <c r="M42" s="35"/>
      <c r="N42" s="46"/>
      <c r="O42" s="35" t="s">
        <v>29</v>
      </c>
      <c r="P42" s="53"/>
      <c r="Q42" s="45"/>
      <c r="R42" s="46"/>
    </row>
    <row r="43" spans="1:18" ht="42.75" x14ac:dyDescent="0.25">
      <c r="A43" s="41" t="s">
        <v>267</v>
      </c>
      <c r="B43" s="41">
        <v>8</v>
      </c>
      <c r="C43" s="42" t="s">
        <v>253</v>
      </c>
      <c r="D43" s="42" t="s">
        <v>268</v>
      </c>
      <c r="E43" s="41" t="s">
        <v>21</v>
      </c>
      <c r="F43" s="37" t="s">
        <v>22</v>
      </c>
      <c r="G43" s="42" t="s">
        <v>269</v>
      </c>
      <c r="H43" s="42" t="s">
        <v>270</v>
      </c>
      <c r="I43" s="42" t="s">
        <v>271</v>
      </c>
      <c r="J43" s="42"/>
      <c r="K43" s="39"/>
      <c r="L43" s="41" t="s">
        <v>272</v>
      </c>
      <c r="M43" s="41" t="s">
        <v>273</v>
      </c>
      <c r="N43" s="51" t="s">
        <v>274</v>
      </c>
      <c r="O43" s="41" t="s">
        <v>29</v>
      </c>
      <c r="P43" s="52"/>
      <c r="Q43" s="43"/>
      <c r="R43" s="47"/>
    </row>
    <row r="44" spans="1:18" ht="42.75" x14ac:dyDescent="0.25">
      <c r="A44" s="35" t="s">
        <v>275</v>
      </c>
      <c r="B44" s="35">
        <v>8</v>
      </c>
      <c r="C44" s="36" t="s">
        <v>253</v>
      </c>
      <c r="D44" s="36" t="s">
        <v>276</v>
      </c>
      <c r="E44" s="35" t="s">
        <v>45</v>
      </c>
      <c r="F44" s="37" t="s">
        <v>22</v>
      </c>
      <c r="G44" s="36" t="s">
        <v>277</v>
      </c>
      <c r="H44" s="36" t="s">
        <v>278</v>
      </c>
      <c r="I44" s="36" t="s">
        <v>75</v>
      </c>
      <c r="J44" s="36"/>
      <c r="K44" s="39"/>
      <c r="L44" s="35"/>
      <c r="M44" s="35"/>
      <c r="N44" s="36"/>
      <c r="O44" s="35" t="s">
        <v>29</v>
      </c>
      <c r="P44" s="53"/>
      <c r="Q44" s="45"/>
      <c r="R44" s="46"/>
    </row>
    <row r="45" spans="1:18" ht="42.75" x14ac:dyDescent="0.25">
      <c r="A45" s="41" t="s">
        <v>279</v>
      </c>
      <c r="B45" s="41">
        <v>8</v>
      </c>
      <c r="C45" s="42" t="s">
        <v>253</v>
      </c>
      <c r="D45" s="42" t="s">
        <v>280</v>
      </c>
      <c r="E45" s="41" t="s">
        <v>21</v>
      </c>
      <c r="F45" s="37" t="s">
        <v>64</v>
      </c>
      <c r="G45" s="42" t="s">
        <v>269</v>
      </c>
      <c r="H45" s="42" t="s">
        <v>281</v>
      </c>
      <c r="I45" s="42" t="s">
        <v>282</v>
      </c>
      <c r="J45" s="42" t="s">
        <v>283</v>
      </c>
      <c r="K45" s="39" t="s">
        <v>284</v>
      </c>
      <c r="L45" s="41" t="s">
        <v>285</v>
      </c>
      <c r="M45" s="41" t="s">
        <v>286</v>
      </c>
      <c r="N45" s="51" t="s">
        <v>287</v>
      </c>
      <c r="O45" s="41" t="s">
        <v>29</v>
      </c>
      <c r="P45" s="52" t="s">
        <v>36</v>
      </c>
      <c r="Q45" s="43"/>
      <c r="R45" s="47"/>
    </row>
    <row r="46" spans="1:18" ht="28.5" x14ac:dyDescent="0.25">
      <c r="A46" s="35" t="s">
        <v>288</v>
      </c>
      <c r="B46" s="35">
        <v>9</v>
      </c>
      <c r="C46" s="36" t="s">
        <v>289</v>
      </c>
      <c r="D46" s="36" t="s">
        <v>290</v>
      </c>
      <c r="E46" s="35" t="s">
        <v>21</v>
      </c>
      <c r="F46" s="37" t="s">
        <v>22</v>
      </c>
      <c r="G46" s="36" t="s">
        <v>291</v>
      </c>
      <c r="H46" s="36" t="s">
        <v>292</v>
      </c>
      <c r="I46" s="36" t="s">
        <v>293</v>
      </c>
      <c r="J46" s="36"/>
      <c r="K46" s="39"/>
      <c r="L46" s="35" t="s">
        <v>272</v>
      </c>
      <c r="M46" s="35" t="s">
        <v>294</v>
      </c>
      <c r="N46" s="50" t="s">
        <v>295</v>
      </c>
      <c r="O46" s="35" t="s">
        <v>29</v>
      </c>
      <c r="P46" s="53"/>
      <c r="Q46" s="45"/>
      <c r="R46" s="46"/>
    </row>
    <row r="47" spans="1:18" ht="28.5" x14ac:dyDescent="0.25">
      <c r="A47" s="41" t="s">
        <v>296</v>
      </c>
      <c r="B47" s="41">
        <v>9</v>
      </c>
      <c r="C47" s="42" t="s">
        <v>289</v>
      </c>
      <c r="D47" s="42" t="s">
        <v>297</v>
      </c>
      <c r="E47" s="41" t="s">
        <v>45</v>
      </c>
      <c r="F47" s="37" t="s">
        <v>22</v>
      </c>
      <c r="G47" s="42" t="s">
        <v>298</v>
      </c>
      <c r="H47" s="42" t="s">
        <v>292</v>
      </c>
      <c r="I47" s="42" t="s">
        <v>299</v>
      </c>
      <c r="J47" s="42"/>
      <c r="K47" s="39"/>
      <c r="L47" s="41"/>
      <c r="M47" s="41"/>
      <c r="N47" s="42"/>
      <c r="O47" s="41" t="s">
        <v>29</v>
      </c>
      <c r="P47" s="52"/>
      <c r="Q47" s="43"/>
      <c r="R47" s="47"/>
    </row>
    <row r="48" spans="1:18" ht="42.75" x14ac:dyDescent="0.25">
      <c r="A48" s="35" t="s">
        <v>300</v>
      </c>
      <c r="B48" s="35">
        <v>9</v>
      </c>
      <c r="C48" s="36" t="s">
        <v>289</v>
      </c>
      <c r="D48" s="36" t="s">
        <v>301</v>
      </c>
      <c r="E48" s="35" t="s">
        <v>21</v>
      </c>
      <c r="F48" s="37" t="s">
        <v>22</v>
      </c>
      <c r="G48" s="36" t="s">
        <v>291</v>
      </c>
      <c r="H48" s="36" t="s">
        <v>302</v>
      </c>
      <c r="I48" s="36" t="s">
        <v>303</v>
      </c>
      <c r="J48" s="36"/>
      <c r="K48" s="39"/>
      <c r="L48" s="35"/>
      <c r="M48" s="35"/>
      <c r="N48" s="36"/>
      <c r="O48" s="35" t="s">
        <v>29</v>
      </c>
      <c r="P48" s="53"/>
      <c r="Q48" s="45"/>
      <c r="R48" s="46"/>
    </row>
    <row r="49" spans="1:18" ht="42.75" x14ac:dyDescent="0.25">
      <c r="A49" s="41" t="s">
        <v>304</v>
      </c>
      <c r="B49" s="41">
        <v>9</v>
      </c>
      <c r="C49" s="42" t="s">
        <v>289</v>
      </c>
      <c r="D49" s="42" t="s">
        <v>305</v>
      </c>
      <c r="E49" s="41" t="s">
        <v>45</v>
      </c>
      <c r="F49" s="37" t="s">
        <v>22</v>
      </c>
      <c r="G49" s="42" t="s">
        <v>291</v>
      </c>
      <c r="H49" s="42" t="s">
        <v>306</v>
      </c>
      <c r="I49" s="42" t="s">
        <v>307</v>
      </c>
      <c r="J49" s="42"/>
      <c r="K49" s="39"/>
      <c r="L49" s="41"/>
      <c r="M49" s="41"/>
      <c r="N49" s="42"/>
      <c r="O49" s="41" t="s">
        <v>29</v>
      </c>
      <c r="P49" s="52"/>
      <c r="Q49" s="43"/>
      <c r="R49" s="47"/>
    </row>
    <row r="50" spans="1:18" ht="28.5" x14ac:dyDescent="0.25">
      <c r="A50" s="35" t="s">
        <v>308</v>
      </c>
      <c r="B50" s="35">
        <v>9</v>
      </c>
      <c r="C50" s="36" t="s">
        <v>289</v>
      </c>
      <c r="D50" s="36" t="s">
        <v>309</v>
      </c>
      <c r="E50" s="35" t="s">
        <v>45</v>
      </c>
      <c r="F50" s="37" t="s">
        <v>22</v>
      </c>
      <c r="G50" s="36" t="s">
        <v>291</v>
      </c>
      <c r="H50" s="36" t="s">
        <v>310</v>
      </c>
      <c r="I50" s="36" t="s">
        <v>299</v>
      </c>
      <c r="J50" s="36"/>
      <c r="K50" s="39"/>
      <c r="L50" s="35"/>
      <c r="M50" s="35"/>
      <c r="N50" s="36"/>
      <c r="O50" s="35" t="s">
        <v>29</v>
      </c>
      <c r="P50" s="53"/>
      <c r="Q50" s="45"/>
      <c r="R50" s="46"/>
    </row>
    <row r="51" spans="1:18" ht="42.75" x14ac:dyDescent="0.25">
      <c r="A51" s="41" t="s">
        <v>311</v>
      </c>
      <c r="B51" s="41">
        <v>16</v>
      </c>
      <c r="C51" s="42" t="s">
        <v>289</v>
      </c>
      <c r="D51" s="42" t="s">
        <v>312</v>
      </c>
      <c r="E51" s="41" t="s">
        <v>21</v>
      </c>
      <c r="F51" s="37" t="s">
        <v>22</v>
      </c>
      <c r="G51" s="42" t="s">
        <v>313</v>
      </c>
      <c r="H51" s="42" t="s">
        <v>314</v>
      </c>
      <c r="I51" s="42" t="s">
        <v>315</v>
      </c>
      <c r="J51" s="42" t="s">
        <v>316</v>
      </c>
      <c r="K51" s="39" t="s">
        <v>27</v>
      </c>
      <c r="L51" s="41" t="s">
        <v>272</v>
      </c>
      <c r="M51" s="41" t="s">
        <v>317</v>
      </c>
      <c r="N51" s="51" t="s">
        <v>318</v>
      </c>
      <c r="O51" s="41" t="s">
        <v>29</v>
      </c>
      <c r="P51" s="41" t="s">
        <v>319</v>
      </c>
      <c r="Q51" s="43"/>
      <c r="R51" s="42" t="s">
        <v>320</v>
      </c>
    </row>
    <row r="52" spans="1:18" ht="42.75" x14ac:dyDescent="0.25">
      <c r="A52" s="35" t="s">
        <v>321</v>
      </c>
      <c r="B52" s="35">
        <v>10</v>
      </c>
      <c r="C52" s="36" t="s">
        <v>322</v>
      </c>
      <c r="D52" s="36" t="s">
        <v>323</v>
      </c>
      <c r="E52" s="35" t="s">
        <v>21</v>
      </c>
      <c r="F52" s="37" t="s">
        <v>64</v>
      </c>
      <c r="G52" s="36" t="s">
        <v>291</v>
      </c>
      <c r="H52" s="36" t="s">
        <v>324</v>
      </c>
      <c r="I52" s="36" t="s">
        <v>325</v>
      </c>
      <c r="J52" s="36"/>
      <c r="K52" s="39"/>
      <c r="L52" s="35"/>
      <c r="M52" s="35"/>
      <c r="N52" s="46"/>
      <c r="O52" s="35" t="s">
        <v>29</v>
      </c>
      <c r="P52" s="53"/>
      <c r="Q52" s="45"/>
      <c r="R52" s="46"/>
    </row>
    <row r="53" spans="1:18" ht="28.5" x14ac:dyDescent="0.25">
      <c r="A53" s="41" t="s">
        <v>326</v>
      </c>
      <c r="B53" s="41">
        <v>10</v>
      </c>
      <c r="C53" s="42" t="s">
        <v>322</v>
      </c>
      <c r="D53" s="42" t="s">
        <v>327</v>
      </c>
      <c r="E53" s="41" t="s">
        <v>45</v>
      </c>
      <c r="F53" s="37" t="s">
        <v>64</v>
      </c>
      <c r="G53" s="42" t="s">
        <v>328</v>
      </c>
      <c r="H53" s="42" t="s">
        <v>329</v>
      </c>
      <c r="I53" s="42" t="s">
        <v>307</v>
      </c>
      <c r="J53" s="42"/>
      <c r="K53" s="39"/>
      <c r="L53" s="41"/>
      <c r="M53" s="41"/>
      <c r="N53" s="47"/>
      <c r="O53" s="41" t="s">
        <v>29</v>
      </c>
      <c r="P53" s="52"/>
      <c r="Q53" s="43"/>
      <c r="R53" s="47"/>
    </row>
    <row r="54" spans="1:18" ht="42.75" x14ac:dyDescent="0.25">
      <c r="A54" s="35" t="s">
        <v>330</v>
      </c>
      <c r="B54" s="35">
        <v>11</v>
      </c>
      <c r="C54" s="36" t="s">
        <v>331</v>
      </c>
      <c r="D54" s="36" t="s">
        <v>332</v>
      </c>
      <c r="E54" s="35" t="s">
        <v>21</v>
      </c>
      <c r="F54" s="37" t="s">
        <v>22</v>
      </c>
      <c r="G54" s="36" t="s">
        <v>333</v>
      </c>
      <c r="H54" s="36" t="s">
        <v>334</v>
      </c>
      <c r="I54" s="36" t="s">
        <v>335</v>
      </c>
      <c r="J54" s="36" t="s">
        <v>336</v>
      </c>
      <c r="K54" s="39" t="s">
        <v>27</v>
      </c>
      <c r="L54" s="35"/>
      <c r="M54" s="35"/>
      <c r="N54" s="50" t="s">
        <v>337</v>
      </c>
      <c r="O54" s="35" t="s">
        <v>29</v>
      </c>
      <c r="P54" s="53" t="s">
        <v>338</v>
      </c>
      <c r="Q54" s="45"/>
      <c r="R54" s="46"/>
    </row>
    <row r="55" spans="1:18" ht="42.75" x14ac:dyDescent="0.25">
      <c r="A55" s="41" t="s">
        <v>339</v>
      </c>
      <c r="B55" s="41">
        <v>11</v>
      </c>
      <c r="C55" s="42" t="s">
        <v>331</v>
      </c>
      <c r="D55" s="42" t="s">
        <v>340</v>
      </c>
      <c r="E55" s="41" t="s">
        <v>21</v>
      </c>
      <c r="F55" s="37" t="s">
        <v>22</v>
      </c>
      <c r="G55" s="42" t="s">
        <v>333</v>
      </c>
      <c r="H55" s="42" t="s">
        <v>341</v>
      </c>
      <c r="I55" s="42" t="s">
        <v>335</v>
      </c>
      <c r="J55" s="42" t="s">
        <v>342</v>
      </c>
      <c r="K55" s="39" t="s">
        <v>27</v>
      </c>
      <c r="L55" s="41"/>
      <c r="M55" s="41"/>
      <c r="N55" s="51" t="s">
        <v>343</v>
      </c>
      <c r="O55" s="41" t="s">
        <v>29</v>
      </c>
      <c r="P55" s="52" t="s">
        <v>338</v>
      </c>
      <c r="Q55" s="43"/>
      <c r="R55" s="47"/>
    </row>
    <row r="56" spans="1:18" ht="42.75" x14ac:dyDescent="0.25">
      <c r="A56" s="35" t="s">
        <v>344</v>
      </c>
      <c r="B56" s="35">
        <v>11</v>
      </c>
      <c r="C56" s="36" t="s">
        <v>331</v>
      </c>
      <c r="D56" s="36" t="s">
        <v>345</v>
      </c>
      <c r="E56" s="35" t="s">
        <v>21</v>
      </c>
      <c r="F56" s="37" t="s">
        <v>22</v>
      </c>
      <c r="G56" s="36" t="s">
        <v>333</v>
      </c>
      <c r="H56" s="36" t="s">
        <v>346</v>
      </c>
      <c r="I56" s="36" t="s">
        <v>335</v>
      </c>
      <c r="J56" s="36" t="s">
        <v>347</v>
      </c>
      <c r="K56" s="39" t="s">
        <v>27</v>
      </c>
      <c r="L56" s="35"/>
      <c r="M56" s="35"/>
      <c r="N56" s="50" t="s">
        <v>348</v>
      </c>
      <c r="O56" s="35" t="s">
        <v>29</v>
      </c>
      <c r="P56" s="53" t="s">
        <v>338</v>
      </c>
      <c r="Q56" s="45"/>
      <c r="R56" s="46"/>
    </row>
    <row r="57" spans="1:18" ht="42.75" x14ac:dyDescent="0.25">
      <c r="A57" s="41" t="s">
        <v>349</v>
      </c>
      <c r="B57" s="41">
        <v>11</v>
      </c>
      <c r="C57" s="42" t="s">
        <v>331</v>
      </c>
      <c r="D57" s="42" t="s">
        <v>350</v>
      </c>
      <c r="E57" s="41" t="s">
        <v>21</v>
      </c>
      <c r="F57" s="37" t="s">
        <v>22</v>
      </c>
      <c r="G57" s="42" t="s">
        <v>93</v>
      </c>
      <c r="H57" s="42" t="s">
        <v>351</v>
      </c>
      <c r="I57" s="42" t="s">
        <v>352</v>
      </c>
      <c r="J57" s="42" t="s">
        <v>353</v>
      </c>
      <c r="K57" s="39" t="s">
        <v>27</v>
      </c>
      <c r="L57" s="41"/>
      <c r="M57" s="41"/>
      <c r="N57" s="51" t="s">
        <v>354</v>
      </c>
      <c r="O57" s="41" t="s">
        <v>29</v>
      </c>
      <c r="P57" s="52" t="s">
        <v>338</v>
      </c>
      <c r="Q57" s="43"/>
      <c r="R57" s="47"/>
    </row>
    <row r="58" spans="1:18" ht="42.75" x14ac:dyDescent="0.25">
      <c r="A58" s="35" t="s">
        <v>355</v>
      </c>
      <c r="B58" s="35">
        <v>11</v>
      </c>
      <c r="C58" s="36" t="s">
        <v>331</v>
      </c>
      <c r="D58" s="36" t="s">
        <v>356</v>
      </c>
      <c r="E58" s="35" t="s">
        <v>21</v>
      </c>
      <c r="F58" s="37" t="s">
        <v>22</v>
      </c>
      <c r="G58" s="36" t="s">
        <v>93</v>
      </c>
      <c r="H58" s="36" t="s">
        <v>357</v>
      </c>
      <c r="I58" s="36" t="s">
        <v>358</v>
      </c>
      <c r="J58" s="36" t="s">
        <v>359</v>
      </c>
      <c r="K58" s="39" t="s">
        <v>27</v>
      </c>
      <c r="L58" s="35"/>
      <c r="M58" s="35"/>
      <c r="N58" s="50" t="s">
        <v>360</v>
      </c>
      <c r="O58" s="35" t="s">
        <v>29</v>
      </c>
      <c r="P58" s="53" t="s">
        <v>338</v>
      </c>
      <c r="Q58" s="45"/>
      <c r="R58" s="46"/>
    </row>
    <row r="59" spans="1:18" ht="42.75" x14ac:dyDescent="0.25">
      <c r="A59" s="41" t="s">
        <v>361</v>
      </c>
      <c r="B59" s="41">
        <v>13</v>
      </c>
      <c r="C59" s="42" t="s">
        <v>362</v>
      </c>
      <c r="D59" s="42" t="s">
        <v>363</v>
      </c>
      <c r="E59" s="41" t="s">
        <v>21</v>
      </c>
      <c r="F59" s="37" t="s">
        <v>22</v>
      </c>
      <c r="G59" s="42" t="s">
        <v>364</v>
      </c>
      <c r="H59" s="42" t="s">
        <v>365</v>
      </c>
      <c r="I59" s="42" t="s">
        <v>366</v>
      </c>
      <c r="J59" s="42" t="s">
        <v>367</v>
      </c>
      <c r="K59" s="39" t="s">
        <v>27</v>
      </c>
      <c r="L59" s="41"/>
      <c r="M59" s="41"/>
      <c r="N59" s="51" t="s">
        <v>368</v>
      </c>
      <c r="O59" s="41" t="s">
        <v>29</v>
      </c>
      <c r="P59" s="52" t="s">
        <v>90</v>
      </c>
      <c r="Q59" s="43"/>
      <c r="R59" s="47"/>
    </row>
    <row r="60" spans="1:18" ht="42.75" x14ac:dyDescent="0.25">
      <c r="A60" s="35" t="s">
        <v>369</v>
      </c>
      <c r="B60" s="35">
        <v>13</v>
      </c>
      <c r="C60" s="36" t="s">
        <v>362</v>
      </c>
      <c r="D60" s="36" t="s">
        <v>370</v>
      </c>
      <c r="E60" s="35" t="s">
        <v>45</v>
      </c>
      <c r="F60" s="37" t="s">
        <v>22</v>
      </c>
      <c r="G60" s="36" t="s">
        <v>277</v>
      </c>
      <c r="H60" s="36" t="s">
        <v>371</v>
      </c>
      <c r="I60" s="36" t="s">
        <v>372</v>
      </c>
      <c r="J60" s="36" t="s">
        <v>373</v>
      </c>
      <c r="K60" s="39" t="s">
        <v>27</v>
      </c>
      <c r="L60" s="35"/>
      <c r="M60" s="35"/>
      <c r="N60" s="50" t="s">
        <v>374</v>
      </c>
      <c r="O60" s="35" t="s">
        <v>29</v>
      </c>
      <c r="P60" s="53" t="s">
        <v>90</v>
      </c>
      <c r="Q60" s="45"/>
      <c r="R60" s="46"/>
    </row>
    <row r="61" spans="1:18" ht="42.75" x14ac:dyDescent="0.25">
      <c r="A61" s="41" t="s">
        <v>375</v>
      </c>
      <c r="B61" s="41">
        <v>13</v>
      </c>
      <c r="C61" s="42" t="s">
        <v>362</v>
      </c>
      <c r="D61" s="42" t="s">
        <v>376</v>
      </c>
      <c r="E61" s="41" t="s">
        <v>21</v>
      </c>
      <c r="F61" s="37" t="s">
        <v>64</v>
      </c>
      <c r="G61" s="42" t="s">
        <v>93</v>
      </c>
      <c r="H61" s="42" t="s">
        <v>377</v>
      </c>
      <c r="I61" s="42" t="s">
        <v>378</v>
      </c>
      <c r="J61" s="42" t="s">
        <v>379</v>
      </c>
      <c r="K61" s="39" t="s">
        <v>27</v>
      </c>
      <c r="L61" s="41"/>
      <c r="M61" s="41"/>
      <c r="N61" s="51" t="s">
        <v>380</v>
      </c>
      <c r="O61" s="41" t="s">
        <v>29</v>
      </c>
      <c r="P61" s="52" t="s">
        <v>90</v>
      </c>
      <c r="Q61" s="43"/>
      <c r="R61" s="47"/>
    </row>
    <row r="62" spans="1:18" ht="28.5" x14ac:dyDescent="0.25">
      <c r="A62" s="35" t="s">
        <v>381</v>
      </c>
      <c r="B62" s="35">
        <v>17</v>
      </c>
      <c r="C62" s="36" t="s">
        <v>382</v>
      </c>
      <c r="D62" s="36" t="s">
        <v>383</v>
      </c>
      <c r="E62" s="35" t="s">
        <v>21</v>
      </c>
      <c r="F62" s="37" t="s">
        <v>64</v>
      </c>
      <c r="G62" s="36" t="s">
        <v>93</v>
      </c>
      <c r="H62" s="36" t="s">
        <v>384</v>
      </c>
      <c r="I62" s="36" t="s">
        <v>385</v>
      </c>
      <c r="J62" s="36"/>
      <c r="K62" s="39"/>
      <c r="L62" s="35"/>
      <c r="M62" s="35"/>
      <c r="N62" s="46"/>
      <c r="O62" s="35" t="s">
        <v>29</v>
      </c>
      <c r="P62" s="53"/>
      <c r="Q62" s="45"/>
      <c r="R62" s="46"/>
    </row>
    <row r="63" spans="1:18" ht="42.75" x14ac:dyDescent="0.25">
      <c r="A63" s="41" t="s">
        <v>386</v>
      </c>
      <c r="B63" s="41">
        <v>17</v>
      </c>
      <c r="C63" s="42" t="s">
        <v>382</v>
      </c>
      <c r="D63" s="42" t="s">
        <v>387</v>
      </c>
      <c r="E63" s="41" t="s">
        <v>21</v>
      </c>
      <c r="F63" s="37" t="s">
        <v>64</v>
      </c>
      <c r="G63" s="42" t="s">
        <v>291</v>
      </c>
      <c r="H63" s="42" t="s">
        <v>388</v>
      </c>
      <c r="I63" s="42" t="s">
        <v>389</v>
      </c>
      <c r="J63" s="42"/>
      <c r="K63" s="39"/>
      <c r="L63" s="41"/>
      <c r="M63" s="41"/>
      <c r="N63" s="47"/>
      <c r="O63" s="41" t="s">
        <v>29</v>
      </c>
      <c r="P63" s="52"/>
      <c r="Q63" s="43"/>
      <c r="R63" s="47"/>
    </row>
    <row r="64" spans="1:18" ht="28.5" x14ac:dyDescent="0.25">
      <c r="A64" s="35" t="s">
        <v>390</v>
      </c>
      <c r="B64" s="35">
        <v>21</v>
      </c>
      <c r="C64" s="36" t="s">
        <v>391</v>
      </c>
      <c r="D64" s="36" t="s">
        <v>392</v>
      </c>
      <c r="E64" s="35" t="s">
        <v>21</v>
      </c>
      <c r="F64" s="37" t="s">
        <v>22</v>
      </c>
      <c r="G64" s="36" t="s">
        <v>93</v>
      </c>
      <c r="H64" s="36" t="s">
        <v>393</v>
      </c>
      <c r="I64" s="36" t="s">
        <v>394</v>
      </c>
      <c r="J64" s="36"/>
      <c r="K64" s="39"/>
      <c r="L64" s="35"/>
      <c r="M64" s="35"/>
      <c r="N64" s="46"/>
      <c r="O64" s="35" t="s">
        <v>29</v>
      </c>
      <c r="P64" s="53"/>
      <c r="Q64" s="45"/>
      <c r="R64" s="46"/>
    </row>
    <row r="65" spans="1:18" ht="28.5" x14ac:dyDescent="0.25">
      <c r="A65" s="41" t="s">
        <v>395</v>
      </c>
      <c r="B65" s="41">
        <v>21</v>
      </c>
      <c r="C65" s="42" t="s">
        <v>391</v>
      </c>
      <c r="D65" s="42" t="s">
        <v>396</v>
      </c>
      <c r="E65" s="41" t="s">
        <v>21</v>
      </c>
      <c r="F65" s="37" t="s">
        <v>64</v>
      </c>
      <c r="G65" s="42" t="s">
        <v>93</v>
      </c>
      <c r="H65" s="42" t="s">
        <v>397</v>
      </c>
      <c r="I65" s="42" t="s">
        <v>398</v>
      </c>
      <c r="J65" s="42"/>
      <c r="K65" s="39"/>
      <c r="L65" s="41"/>
      <c r="M65" s="41"/>
      <c r="N65" s="47"/>
      <c r="O65" s="41" t="s">
        <v>29</v>
      </c>
      <c r="P65" s="52"/>
      <c r="Q65" s="43"/>
      <c r="R65" s="47"/>
    </row>
    <row r="66" spans="1:18" ht="42.75" x14ac:dyDescent="0.25">
      <c r="A66" s="35" t="s">
        <v>399</v>
      </c>
      <c r="B66" s="35">
        <v>21</v>
      </c>
      <c r="C66" s="36" t="s">
        <v>391</v>
      </c>
      <c r="D66" s="36" t="s">
        <v>400</v>
      </c>
      <c r="E66" s="35" t="s">
        <v>21</v>
      </c>
      <c r="F66" s="37" t="s">
        <v>64</v>
      </c>
      <c r="G66" s="36" t="s">
        <v>291</v>
      </c>
      <c r="H66" s="36" t="s">
        <v>401</v>
      </c>
      <c r="I66" s="36" t="s">
        <v>402</v>
      </c>
      <c r="J66" s="36"/>
      <c r="K66" s="39"/>
      <c r="L66" s="35"/>
      <c r="M66" s="35"/>
      <c r="N66" s="46"/>
      <c r="O66" s="35" t="s">
        <v>29</v>
      </c>
      <c r="P66" s="53"/>
      <c r="Q66" s="45"/>
      <c r="R66" s="46"/>
    </row>
    <row r="67" spans="1:18" ht="57" x14ac:dyDescent="0.25">
      <c r="A67" s="41" t="s">
        <v>403</v>
      </c>
      <c r="B67" s="41">
        <v>15</v>
      </c>
      <c r="C67" s="42" t="s">
        <v>997</v>
      </c>
      <c r="D67" s="42" t="s">
        <v>998</v>
      </c>
      <c r="E67" s="41" t="s">
        <v>999</v>
      </c>
      <c r="F67" s="37" t="s">
        <v>22</v>
      </c>
      <c r="G67" s="42" t="s">
        <v>1000</v>
      </c>
      <c r="H67" s="42" t="s">
        <v>1001</v>
      </c>
      <c r="I67" s="42" t="s">
        <v>1002</v>
      </c>
      <c r="J67" s="42" t="s">
        <v>1003</v>
      </c>
      <c r="K67" s="39" t="s">
        <v>27</v>
      </c>
      <c r="L67" s="41" t="s">
        <v>21</v>
      </c>
      <c r="M67" s="41" t="s">
        <v>277</v>
      </c>
      <c r="N67" s="54" t="s">
        <v>1004</v>
      </c>
      <c r="O67" s="41" t="s">
        <v>404</v>
      </c>
      <c r="P67" s="52" t="s">
        <v>405</v>
      </c>
      <c r="Q67" s="43" t="s">
        <v>1005</v>
      </c>
      <c r="R67" s="42" t="s">
        <v>1006</v>
      </c>
    </row>
    <row r="68" spans="1:18" ht="57" x14ac:dyDescent="0.25">
      <c r="A68" s="35" t="s">
        <v>406</v>
      </c>
      <c r="B68" s="35">
        <v>15</v>
      </c>
      <c r="C68" s="36" t="s">
        <v>1007</v>
      </c>
      <c r="D68" s="36" t="s">
        <v>1008</v>
      </c>
      <c r="E68" s="35" t="s">
        <v>1009</v>
      </c>
      <c r="F68" s="37" t="s">
        <v>22</v>
      </c>
      <c r="G68" s="36" t="s">
        <v>1010</v>
      </c>
      <c r="H68" s="36" t="s">
        <v>1011</v>
      </c>
      <c r="I68" s="36" t="s">
        <v>1012</v>
      </c>
      <c r="J68" s="36" t="s">
        <v>1013</v>
      </c>
      <c r="K68" s="39" t="s">
        <v>27</v>
      </c>
      <c r="L68" s="35" t="s">
        <v>21</v>
      </c>
      <c r="M68" s="35" t="s">
        <v>277</v>
      </c>
      <c r="N68" s="55" t="s">
        <v>1014</v>
      </c>
      <c r="O68" s="35" t="s">
        <v>404</v>
      </c>
      <c r="P68" s="53" t="s">
        <v>405</v>
      </c>
      <c r="Q68" s="45" t="s">
        <v>1005</v>
      </c>
      <c r="R68" s="46" t="s">
        <v>1015</v>
      </c>
    </row>
    <row r="69" spans="1:18" ht="57" x14ac:dyDescent="0.25">
      <c r="A69" s="41" t="s">
        <v>407</v>
      </c>
      <c r="B69" s="41">
        <v>15</v>
      </c>
      <c r="C69" s="42" t="s">
        <v>1016</v>
      </c>
      <c r="D69" s="42" t="s">
        <v>1017</v>
      </c>
      <c r="E69" s="41" t="s">
        <v>1018</v>
      </c>
      <c r="F69" s="37" t="s">
        <v>22</v>
      </c>
      <c r="G69" s="42" t="s">
        <v>1019</v>
      </c>
      <c r="H69" s="42" t="s">
        <v>1020</v>
      </c>
      <c r="I69" s="42" t="s">
        <v>1021</v>
      </c>
      <c r="J69" s="42" t="s">
        <v>1022</v>
      </c>
      <c r="K69" s="39" t="s">
        <v>27</v>
      </c>
      <c r="L69" s="41" t="s">
        <v>21</v>
      </c>
      <c r="M69" s="41" t="s">
        <v>277</v>
      </c>
      <c r="N69" s="54" t="s">
        <v>1023</v>
      </c>
      <c r="O69" s="41" t="s">
        <v>404</v>
      </c>
      <c r="P69" s="52" t="s">
        <v>405</v>
      </c>
      <c r="Q69" s="43" t="s">
        <v>1005</v>
      </c>
      <c r="R69" s="47" t="s">
        <v>1024</v>
      </c>
    </row>
    <row r="70" spans="1:18" ht="57" x14ac:dyDescent="0.25">
      <c r="A70" s="35" t="s">
        <v>408</v>
      </c>
      <c r="B70" s="35">
        <v>15</v>
      </c>
      <c r="C70" s="36" t="s">
        <v>1025</v>
      </c>
      <c r="D70" s="36" t="s">
        <v>1026</v>
      </c>
      <c r="E70" s="35" t="s">
        <v>1027</v>
      </c>
      <c r="F70" s="37" t="s">
        <v>22</v>
      </c>
      <c r="G70" s="36" t="s">
        <v>1028</v>
      </c>
      <c r="H70" s="36" t="s">
        <v>1029</v>
      </c>
      <c r="I70" s="36" t="s">
        <v>1030</v>
      </c>
      <c r="J70" s="36" t="s">
        <v>1031</v>
      </c>
      <c r="K70" s="39" t="s">
        <v>27</v>
      </c>
      <c r="L70" s="35" t="s">
        <v>21</v>
      </c>
      <c r="M70" s="35" t="s">
        <v>277</v>
      </c>
      <c r="N70" s="55" t="s">
        <v>1032</v>
      </c>
      <c r="O70" s="35" t="s">
        <v>404</v>
      </c>
      <c r="P70" s="53" t="s">
        <v>405</v>
      </c>
      <c r="Q70" s="45" t="s">
        <v>1005</v>
      </c>
      <c r="R70" s="46" t="s">
        <v>1033</v>
      </c>
    </row>
    <row r="71" spans="1:18" ht="71.25" x14ac:dyDescent="0.25">
      <c r="A71" s="41" t="s">
        <v>409</v>
      </c>
      <c r="B71" s="41">
        <v>15</v>
      </c>
      <c r="C71" s="42" t="s">
        <v>1034</v>
      </c>
      <c r="D71" s="42" t="s">
        <v>1035</v>
      </c>
      <c r="E71" s="41" t="s">
        <v>1036</v>
      </c>
      <c r="F71" s="37" t="s">
        <v>64</v>
      </c>
      <c r="G71" s="42" t="s">
        <v>1037</v>
      </c>
      <c r="H71" s="42" t="s">
        <v>1038</v>
      </c>
      <c r="I71" s="42" t="s">
        <v>1039</v>
      </c>
      <c r="J71" s="42" t="s">
        <v>1040</v>
      </c>
      <c r="K71" s="39" t="s">
        <v>27</v>
      </c>
      <c r="L71" s="41" t="s">
        <v>21</v>
      </c>
      <c r="M71" s="41" t="s">
        <v>277</v>
      </c>
      <c r="N71" s="54" t="s">
        <v>1041</v>
      </c>
      <c r="O71" s="41" t="s">
        <v>404</v>
      </c>
      <c r="P71" s="52" t="s">
        <v>405</v>
      </c>
      <c r="Q71" s="43" t="s">
        <v>1005</v>
      </c>
      <c r="R71" s="47" t="s">
        <v>1042</v>
      </c>
    </row>
    <row r="72" spans="1:18" ht="85.5" x14ac:dyDescent="0.25">
      <c r="A72" s="35" t="s">
        <v>1043</v>
      </c>
      <c r="B72" s="35">
        <v>15</v>
      </c>
      <c r="C72" s="36" t="s">
        <v>1044</v>
      </c>
      <c r="D72" s="36" t="s">
        <v>1045</v>
      </c>
      <c r="E72" s="35" t="s">
        <v>1046</v>
      </c>
      <c r="F72" s="37" t="s">
        <v>22</v>
      </c>
      <c r="G72" s="36" t="s">
        <v>1047</v>
      </c>
      <c r="H72" s="36" t="s">
        <v>1048</v>
      </c>
      <c r="I72" s="36" t="s">
        <v>1049</v>
      </c>
      <c r="J72" s="36" t="s">
        <v>1050</v>
      </c>
      <c r="K72" s="39" t="s">
        <v>27</v>
      </c>
      <c r="L72" s="35" t="s">
        <v>21</v>
      </c>
      <c r="M72" s="35" t="s">
        <v>277</v>
      </c>
      <c r="N72" s="55" t="s">
        <v>1051</v>
      </c>
      <c r="O72" s="35" t="s">
        <v>404</v>
      </c>
      <c r="P72" s="53" t="s">
        <v>405</v>
      </c>
      <c r="Q72" s="45" t="s">
        <v>1005</v>
      </c>
      <c r="R72" s="46" t="s">
        <v>1052</v>
      </c>
    </row>
    <row r="73" spans="1:18" ht="28.5" x14ac:dyDescent="0.25">
      <c r="A73" s="41" t="s">
        <v>410</v>
      </c>
      <c r="B73" s="41">
        <v>8</v>
      </c>
      <c r="C73" s="42" t="s">
        <v>411</v>
      </c>
      <c r="D73" s="42" t="s">
        <v>412</v>
      </c>
      <c r="E73" s="41" t="s">
        <v>21</v>
      </c>
      <c r="F73" s="37" t="s">
        <v>22</v>
      </c>
      <c r="G73" s="42" t="s">
        <v>413</v>
      </c>
      <c r="H73" s="42" t="s">
        <v>414</v>
      </c>
      <c r="I73" s="42" t="s">
        <v>415</v>
      </c>
      <c r="J73" s="42" t="s">
        <v>416</v>
      </c>
      <c r="K73" s="39" t="s">
        <v>27</v>
      </c>
      <c r="L73" s="41"/>
      <c r="M73" s="41"/>
      <c r="N73" s="51" t="s">
        <v>417</v>
      </c>
      <c r="O73" s="41" t="s">
        <v>29</v>
      </c>
      <c r="P73" s="41" t="s">
        <v>418</v>
      </c>
      <c r="Q73" s="41"/>
      <c r="R73" s="42" t="s">
        <v>419</v>
      </c>
    </row>
    <row r="74" spans="1:18" ht="28.5" x14ac:dyDescent="0.25">
      <c r="A74" s="35" t="s">
        <v>420</v>
      </c>
      <c r="B74" s="35">
        <v>8</v>
      </c>
      <c r="C74" s="36" t="s">
        <v>411</v>
      </c>
      <c r="D74" s="36" t="s">
        <v>421</v>
      </c>
      <c r="E74" s="35" t="s">
        <v>21</v>
      </c>
      <c r="F74" s="37" t="s">
        <v>64</v>
      </c>
      <c r="G74" s="36" t="s">
        <v>422</v>
      </c>
      <c r="H74" s="36" t="s">
        <v>423</v>
      </c>
      <c r="I74" s="36" t="s">
        <v>424</v>
      </c>
      <c r="J74" s="36" t="s">
        <v>425</v>
      </c>
      <c r="K74" s="39" t="s">
        <v>27</v>
      </c>
      <c r="L74" s="35"/>
      <c r="M74" s="35"/>
      <c r="N74" s="50" t="s">
        <v>426</v>
      </c>
      <c r="O74" s="35" t="s">
        <v>29</v>
      </c>
      <c r="P74" s="35" t="s">
        <v>418</v>
      </c>
      <c r="Q74" s="35"/>
      <c r="R74" s="36" t="s">
        <v>427</v>
      </c>
    </row>
    <row r="75" spans="1:18" ht="28.5" x14ac:dyDescent="0.25">
      <c r="A75" s="41" t="s">
        <v>428</v>
      </c>
      <c r="B75" s="41">
        <v>8</v>
      </c>
      <c r="C75" s="42" t="s">
        <v>411</v>
      </c>
      <c r="D75" s="42" t="s">
        <v>429</v>
      </c>
      <c r="E75" s="41" t="s">
        <v>21</v>
      </c>
      <c r="F75" s="37" t="s">
        <v>64</v>
      </c>
      <c r="G75" s="42" t="s">
        <v>430</v>
      </c>
      <c r="H75" s="42" t="s">
        <v>431</v>
      </c>
      <c r="I75" s="42" t="s">
        <v>432</v>
      </c>
      <c r="J75" s="42" t="s">
        <v>433</v>
      </c>
      <c r="K75" s="39" t="s">
        <v>27</v>
      </c>
      <c r="L75" s="41"/>
      <c r="M75" s="41"/>
      <c r="N75" s="51" t="s">
        <v>434</v>
      </c>
      <c r="O75" s="41" t="s">
        <v>29</v>
      </c>
      <c r="P75" s="41" t="s">
        <v>418</v>
      </c>
      <c r="Q75" s="41"/>
      <c r="R75" s="42" t="s">
        <v>435</v>
      </c>
    </row>
    <row r="76" spans="1:18" ht="28.5" x14ac:dyDescent="0.25">
      <c r="A76" s="35" t="s">
        <v>436</v>
      </c>
      <c r="B76" s="35">
        <v>8</v>
      </c>
      <c r="C76" s="36" t="s">
        <v>411</v>
      </c>
      <c r="D76" s="36" t="s">
        <v>437</v>
      </c>
      <c r="E76" s="35" t="s">
        <v>63</v>
      </c>
      <c r="F76" s="37" t="s">
        <v>22</v>
      </c>
      <c r="G76" s="36" t="s">
        <v>438</v>
      </c>
      <c r="H76" s="36" t="s">
        <v>439</v>
      </c>
      <c r="I76" s="36" t="s">
        <v>440</v>
      </c>
      <c r="J76" s="36" t="s">
        <v>441</v>
      </c>
      <c r="K76" s="39" t="s">
        <v>27</v>
      </c>
      <c r="L76" s="35"/>
      <c r="M76" s="35"/>
      <c r="N76" s="50" t="s">
        <v>442</v>
      </c>
      <c r="O76" s="35" t="s">
        <v>29</v>
      </c>
      <c r="P76" s="35" t="s">
        <v>418</v>
      </c>
      <c r="Q76" s="35"/>
      <c r="R76" s="36" t="s">
        <v>443</v>
      </c>
    </row>
    <row r="77" spans="1:18" ht="28.5" x14ac:dyDescent="0.25">
      <c r="A77" s="41" t="s">
        <v>444</v>
      </c>
      <c r="B77" s="41">
        <v>8</v>
      </c>
      <c r="C77" s="42" t="s">
        <v>411</v>
      </c>
      <c r="D77" s="42" t="s">
        <v>445</v>
      </c>
      <c r="E77" s="41" t="s">
        <v>21</v>
      </c>
      <c r="F77" s="37" t="s">
        <v>64</v>
      </c>
      <c r="G77" s="42" t="s">
        <v>446</v>
      </c>
      <c r="H77" s="42" t="s">
        <v>447</v>
      </c>
      <c r="I77" s="42" t="s">
        <v>448</v>
      </c>
      <c r="J77" s="42" t="s">
        <v>449</v>
      </c>
      <c r="K77" s="39" t="s">
        <v>27</v>
      </c>
      <c r="L77" s="41" t="s">
        <v>285</v>
      </c>
      <c r="M77" s="41" t="s">
        <v>450</v>
      </c>
      <c r="N77" s="51" t="s">
        <v>451</v>
      </c>
      <c r="O77" s="41" t="s">
        <v>29</v>
      </c>
      <c r="P77" s="41" t="s">
        <v>418</v>
      </c>
      <c r="Q77" s="41"/>
      <c r="R77" s="42" t="s">
        <v>452</v>
      </c>
    </row>
    <row r="78" spans="1:18" ht="28.5" x14ac:dyDescent="0.25">
      <c r="A78" s="35" t="s">
        <v>453</v>
      </c>
      <c r="B78" s="35">
        <v>8</v>
      </c>
      <c r="C78" s="36" t="s">
        <v>411</v>
      </c>
      <c r="D78" s="36" t="s">
        <v>454</v>
      </c>
      <c r="E78" s="35" t="s">
        <v>21</v>
      </c>
      <c r="F78" s="37" t="s">
        <v>22</v>
      </c>
      <c r="G78" s="36" t="s">
        <v>455</v>
      </c>
      <c r="H78" s="36" t="s">
        <v>456</v>
      </c>
      <c r="I78" s="36" t="s">
        <v>457</v>
      </c>
      <c r="J78" s="36" t="s">
        <v>458</v>
      </c>
      <c r="K78" s="39" t="s">
        <v>27</v>
      </c>
      <c r="L78" s="35" t="s">
        <v>459</v>
      </c>
      <c r="M78" s="35" t="s">
        <v>460</v>
      </c>
      <c r="N78" s="50" t="s">
        <v>461</v>
      </c>
      <c r="O78" s="35" t="s">
        <v>29</v>
      </c>
      <c r="P78" s="35" t="s">
        <v>418</v>
      </c>
      <c r="Q78" s="35"/>
      <c r="R78" s="36" t="s">
        <v>462</v>
      </c>
    </row>
    <row r="79" spans="1:18" ht="28.5" x14ac:dyDescent="0.25">
      <c r="A79" s="41" t="s">
        <v>463</v>
      </c>
      <c r="B79" s="41">
        <v>8</v>
      </c>
      <c r="C79" s="42" t="s">
        <v>411</v>
      </c>
      <c r="D79" s="42" t="s">
        <v>464</v>
      </c>
      <c r="E79" s="41" t="s">
        <v>21</v>
      </c>
      <c r="F79" s="37" t="s">
        <v>64</v>
      </c>
      <c r="G79" s="42" t="s">
        <v>465</v>
      </c>
      <c r="H79" s="42" t="s">
        <v>466</v>
      </c>
      <c r="I79" s="42" t="s">
        <v>467</v>
      </c>
      <c r="J79" s="42" t="s">
        <v>468</v>
      </c>
      <c r="K79" s="39" t="s">
        <v>27</v>
      </c>
      <c r="L79" s="41"/>
      <c r="M79" s="41"/>
      <c r="N79" s="51" t="s">
        <v>469</v>
      </c>
      <c r="O79" s="41" t="s">
        <v>29</v>
      </c>
      <c r="P79" s="41" t="s">
        <v>418</v>
      </c>
      <c r="Q79" s="41"/>
      <c r="R79" s="42" t="s">
        <v>470</v>
      </c>
    </row>
    <row r="80" spans="1:18" ht="28.5" x14ac:dyDescent="0.25">
      <c r="A80" s="35" t="s">
        <v>471</v>
      </c>
      <c r="B80" s="35">
        <v>9</v>
      </c>
      <c r="C80" s="36" t="s">
        <v>411</v>
      </c>
      <c r="D80" s="36" t="s">
        <v>472</v>
      </c>
      <c r="E80" s="35" t="s">
        <v>473</v>
      </c>
      <c r="F80" s="37" t="s">
        <v>22</v>
      </c>
      <c r="G80" s="36" t="s">
        <v>474</v>
      </c>
      <c r="H80" s="36" t="s">
        <v>475</v>
      </c>
      <c r="I80" s="36" t="s">
        <v>476</v>
      </c>
      <c r="J80" s="36" t="s">
        <v>477</v>
      </c>
      <c r="K80" s="39" t="s">
        <v>27</v>
      </c>
      <c r="L80" s="35"/>
      <c r="M80" s="35"/>
      <c r="N80" s="50" t="s">
        <v>478</v>
      </c>
      <c r="O80" s="35" t="s">
        <v>29</v>
      </c>
      <c r="P80" s="35" t="s">
        <v>418</v>
      </c>
      <c r="Q80" s="35" t="s">
        <v>479</v>
      </c>
      <c r="R80" s="36" t="s">
        <v>480</v>
      </c>
    </row>
    <row r="81" spans="1:18" ht="28.5" x14ac:dyDescent="0.25">
      <c r="A81" s="41" t="s">
        <v>481</v>
      </c>
      <c r="B81" s="41">
        <v>9</v>
      </c>
      <c r="C81" s="42" t="s">
        <v>411</v>
      </c>
      <c r="D81" s="42" t="s">
        <v>482</v>
      </c>
      <c r="E81" s="41" t="s">
        <v>483</v>
      </c>
      <c r="F81" s="37" t="s">
        <v>22</v>
      </c>
      <c r="G81" s="42" t="s">
        <v>484</v>
      </c>
      <c r="H81" s="42" t="s">
        <v>485</v>
      </c>
      <c r="I81" s="42" t="s">
        <v>486</v>
      </c>
      <c r="J81" s="42" t="s">
        <v>487</v>
      </c>
      <c r="K81" s="39" t="s">
        <v>27</v>
      </c>
      <c r="L81" s="41"/>
      <c r="M81" s="41"/>
      <c r="N81" s="51" t="s">
        <v>488</v>
      </c>
      <c r="O81" s="41" t="s">
        <v>29</v>
      </c>
      <c r="P81" s="41" t="s">
        <v>418</v>
      </c>
      <c r="Q81" s="41" t="s">
        <v>479</v>
      </c>
      <c r="R81" s="42" t="s">
        <v>489</v>
      </c>
    </row>
    <row r="82" spans="1:18" ht="28.5" x14ac:dyDescent="0.25">
      <c r="A82" s="35" t="s">
        <v>490</v>
      </c>
      <c r="B82" s="35">
        <v>9</v>
      </c>
      <c r="C82" s="36" t="s">
        <v>411</v>
      </c>
      <c r="D82" s="36" t="s">
        <v>491</v>
      </c>
      <c r="E82" s="35" t="s">
        <v>483</v>
      </c>
      <c r="F82" s="37" t="s">
        <v>22</v>
      </c>
      <c r="G82" s="36" t="s">
        <v>492</v>
      </c>
      <c r="H82" s="36" t="s">
        <v>493</v>
      </c>
      <c r="I82" s="36" t="s">
        <v>494</v>
      </c>
      <c r="J82" s="36" t="s">
        <v>495</v>
      </c>
      <c r="K82" s="39" t="s">
        <v>27</v>
      </c>
      <c r="L82" s="35"/>
      <c r="M82" s="35"/>
      <c r="N82" s="50" t="s">
        <v>496</v>
      </c>
      <c r="O82" s="35" t="s">
        <v>29</v>
      </c>
      <c r="P82" s="35" t="s">
        <v>418</v>
      </c>
      <c r="Q82" s="35" t="s">
        <v>479</v>
      </c>
      <c r="R82" s="36" t="s">
        <v>497</v>
      </c>
    </row>
    <row r="83" spans="1:18" ht="28.5" x14ac:dyDescent="0.25">
      <c r="A83" s="41" t="s">
        <v>498</v>
      </c>
      <c r="B83" s="41">
        <v>9</v>
      </c>
      <c r="C83" s="42" t="s">
        <v>411</v>
      </c>
      <c r="D83" s="42" t="s">
        <v>499</v>
      </c>
      <c r="E83" s="41" t="s">
        <v>500</v>
      </c>
      <c r="F83" s="37" t="s">
        <v>64</v>
      </c>
      <c r="G83" s="42" t="s">
        <v>501</v>
      </c>
      <c r="H83" s="42" t="s">
        <v>502</v>
      </c>
      <c r="I83" s="42" t="s">
        <v>503</v>
      </c>
      <c r="J83" s="42" t="s">
        <v>504</v>
      </c>
      <c r="K83" s="39" t="s">
        <v>27</v>
      </c>
      <c r="L83" s="41"/>
      <c r="M83" s="41"/>
      <c r="N83" s="51" t="s">
        <v>505</v>
      </c>
      <c r="O83" s="41" t="s">
        <v>29</v>
      </c>
      <c r="P83" s="41" t="s">
        <v>418</v>
      </c>
      <c r="Q83" s="41" t="s">
        <v>479</v>
      </c>
      <c r="R83" s="42" t="s">
        <v>506</v>
      </c>
    </row>
    <row r="84" spans="1:18" ht="28.5" x14ac:dyDescent="0.25">
      <c r="A84" s="35" t="s">
        <v>507</v>
      </c>
      <c r="B84" s="35">
        <v>9</v>
      </c>
      <c r="C84" s="36" t="s">
        <v>411</v>
      </c>
      <c r="D84" s="36" t="s">
        <v>508</v>
      </c>
      <c r="E84" s="35" t="s">
        <v>483</v>
      </c>
      <c r="F84" s="37" t="s">
        <v>22</v>
      </c>
      <c r="G84" s="36" t="s">
        <v>509</v>
      </c>
      <c r="H84" s="36" t="s">
        <v>510</v>
      </c>
      <c r="I84" s="36" t="s">
        <v>511</v>
      </c>
      <c r="J84" s="36" t="s">
        <v>512</v>
      </c>
      <c r="K84" s="39" t="s">
        <v>27</v>
      </c>
      <c r="L84" s="35"/>
      <c r="M84" s="35"/>
      <c r="N84" s="50" t="s">
        <v>513</v>
      </c>
      <c r="O84" s="35" t="s">
        <v>29</v>
      </c>
      <c r="P84" s="35" t="s">
        <v>418</v>
      </c>
      <c r="Q84" s="35" t="s">
        <v>479</v>
      </c>
      <c r="R84" s="36" t="s">
        <v>514</v>
      </c>
    </row>
    <row r="85" spans="1:18" ht="28.5" x14ac:dyDescent="0.25">
      <c r="A85" s="41" t="s">
        <v>515</v>
      </c>
      <c r="B85" s="41">
        <v>9</v>
      </c>
      <c r="C85" s="42" t="s">
        <v>411</v>
      </c>
      <c r="D85" s="42" t="s">
        <v>516</v>
      </c>
      <c r="E85" s="41" t="s">
        <v>517</v>
      </c>
      <c r="F85" s="37" t="s">
        <v>22</v>
      </c>
      <c r="G85" s="42" t="s">
        <v>518</v>
      </c>
      <c r="H85" s="42" t="s">
        <v>519</v>
      </c>
      <c r="I85" s="42" t="s">
        <v>520</v>
      </c>
      <c r="J85" s="42" t="s">
        <v>521</v>
      </c>
      <c r="K85" s="39" t="s">
        <v>27</v>
      </c>
      <c r="L85" s="41"/>
      <c r="M85" s="41"/>
      <c r="N85" s="51" t="s">
        <v>522</v>
      </c>
      <c r="O85" s="41" t="s">
        <v>29</v>
      </c>
      <c r="P85" s="41" t="s">
        <v>418</v>
      </c>
      <c r="Q85" s="41" t="s">
        <v>479</v>
      </c>
      <c r="R85" s="42" t="s">
        <v>523</v>
      </c>
    </row>
    <row r="86" spans="1:18" ht="28.5" x14ac:dyDescent="0.25">
      <c r="A86" s="35" t="s">
        <v>524</v>
      </c>
      <c r="B86" s="35">
        <v>9</v>
      </c>
      <c r="C86" s="36" t="s">
        <v>411</v>
      </c>
      <c r="D86" s="36" t="s">
        <v>525</v>
      </c>
      <c r="E86" s="35" t="s">
        <v>526</v>
      </c>
      <c r="F86" s="37" t="s">
        <v>64</v>
      </c>
      <c r="G86" s="36" t="s">
        <v>527</v>
      </c>
      <c r="H86" s="36" t="s">
        <v>528</v>
      </c>
      <c r="I86" s="36" t="s">
        <v>529</v>
      </c>
      <c r="J86" s="36" t="s">
        <v>530</v>
      </c>
      <c r="K86" s="39" t="s">
        <v>27</v>
      </c>
      <c r="L86" s="35"/>
      <c r="M86" s="35"/>
      <c r="N86" s="50" t="s">
        <v>531</v>
      </c>
      <c r="O86" s="35" t="s">
        <v>29</v>
      </c>
      <c r="P86" s="35" t="s">
        <v>418</v>
      </c>
      <c r="Q86" s="35" t="s">
        <v>479</v>
      </c>
      <c r="R86" s="36" t="s">
        <v>532</v>
      </c>
    </row>
    <row r="87" spans="1:18" ht="28.5" x14ac:dyDescent="0.25">
      <c r="A87" s="41" t="s">
        <v>533</v>
      </c>
      <c r="B87" s="41">
        <v>9</v>
      </c>
      <c r="C87" s="42" t="s">
        <v>411</v>
      </c>
      <c r="D87" s="42" t="s">
        <v>534</v>
      </c>
      <c r="E87" s="41" t="s">
        <v>526</v>
      </c>
      <c r="F87" s="37" t="s">
        <v>64</v>
      </c>
      <c r="G87" s="42" t="s">
        <v>535</v>
      </c>
      <c r="H87" s="42" t="s">
        <v>536</v>
      </c>
      <c r="I87" s="42" t="s">
        <v>537</v>
      </c>
      <c r="J87" s="42" t="s">
        <v>538</v>
      </c>
      <c r="K87" s="39" t="s">
        <v>27</v>
      </c>
      <c r="L87" s="41"/>
      <c r="M87" s="41"/>
      <c r="N87" s="51" t="s">
        <v>539</v>
      </c>
      <c r="O87" s="41" t="s">
        <v>29</v>
      </c>
      <c r="P87" s="41" t="s">
        <v>418</v>
      </c>
      <c r="Q87" s="41" t="s">
        <v>479</v>
      </c>
      <c r="R87" s="42" t="s">
        <v>540</v>
      </c>
    </row>
    <row r="88" spans="1:18" ht="28.5" x14ac:dyDescent="0.25">
      <c r="A88" s="35" t="s">
        <v>541</v>
      </c>
      <c r="B88" s="35">
        <v>10</v>
      </c>
      <c r="C88" s="36" t="s">
        <v>19</v>
      </c>
      <c r="D88" s="36" t="s">
        <v>542</v>
      </c>
      <c r="E88" s="35" t="s">
        <v>21</v>
      </c>
      <c r="F88" s="37" t="s">
        <v>22</v>
      </c>
      <c r="G88" s="36" t="s">
        <v>543</v>
      </c>
      <c r="H88" s="36" t="s">
        <v>544</v>
      </c>
      <c r="I88" s="36" t="s">
        <v>545</v>
      </c>
      <c r="J88" s="36" t="s">
        <v>546</v>
      </c>
      <c r="K88" s="39" t="s">
        <v>27</v>
      </c>
      <c r="L88" s="35"/>
      <c r="M88" s="35"/>
      <c r="N88" s="50" t="s">
        <v>79</v>
      </c>
      <c r="O88" s="35" t="s">
        <v>29</v>
      </c>
      <c r="P88" s="35" t="s">
        <v>80</v>
      </c>
      <c r="Q88" s="35" t="s">
        <v>547</v>
      </c>
      <c r="R88" s="36" t="s">
        <v>548</v>
      </c>
    </row>
    <row r="89" spans="1:18" ht="28.5" x14ac:dyDescent="0.25">
      <c r="A89" s="41" t="s">
        <v>549</v>
      </c>
      <c r="B89" s="41">
        <v>10</v>
      </c>
      <c r="C89" s="42" t="s">
        <v>19</v>
      </c>
      <c r="D89" s="42" t="s">
        <v>550</v>
      </c>
      <c r="E89" s="41" t="s">
        <v>21</v>
      </c>
      <c r="F89" s="37" t="s">
        <v>22</v>
      </c>
      <c r="G89" s="42" t="s">
        <v>551</v>
      </c>
      <c r="H89" s="42" t="s">
        <v>552</v>
      </c>
      <c r="I89" s="42" t="s">
        <v>553</v>
      </c>
      <c r="J89" s="42" t="s">
        <v>554</v>
      </c>
      <c r="K89" s="39" t="s">
        <v>27</v>
      </c>
      <c r="L89" s="41"/>
      <c r="M89" s="41"/>
      <c r="N89" s="51" t="s">
        <v>555</v>
      </c>
      <c r="O89" s="41" t="s">
        <v>29</v>
      </c>
      <c r="P89" s="41" t="s">
        <v>80</v>
      </c>
      <c r="Q89" s="41" t="s">
        <v>547</v>
      </c>
      <c r="R89" s="42" t="s">
        <v>548</v>
      </c>
    </row>
    <row r="90" spans="1:18" ht="28.5" x14ac:dyDescent="0.25">
      <c r="A90" s="35" t="s">
        <v>556</v>
      </c>
      <c r="B90" s="35">
        <v>10</v>
      </c>
      <c r="C90" s="36" t="s">
        <v>19</v>
      </c>
      <c r="D90" s="36" t="s">
        <v>557</v>
      </c>
      <c r="E90" s="35" t="s">
        <v>21</v>
      </c>
      <c r="F90" s="37" t="s">
        <v>22</v>
      </c>
      <c r="G90" s="36" t="s">
        <v>558</v>
      </c>
      <c r="H90" s="36" t="s">
        <v>559</v>
      </c>
      <c r="I90" s="36" t="s">
        <v>560</v>
      </c>
      <c r="J90" s="36" t="s">
        <v>561</v>
      </c>
      <c r="K90" s="39" t="s">
        <v>27</v>
      </c>
      <c r="L90" s="35"/>
      <c r="M90" s="35"/>
      <c r="N90" s="50" t="s">
        <v>562</v>
      </c>
      <c r="O90" s="35" t="s">
        <v>29</v>
      </c>
      <c r="P90" s="35" t="s">
        <v>80</v>
      </c>
      <c r="Q90" s="35" t="s">
        <v>547</v>
      </c>
      <c r="R90" s="36" t="s">
        <v>548</v>
      </c>
    </row>
    <row r="91" spans="1:18" ht="28.5" x14ac:dyDescent="0.25">
      <c r="A91" s="41" t="s">
        <v>563</v>
      </c>
      <c r="B91" s="41">
        <v>10</v>
      </c>
      <c r="C91" s="42" t="s">
        <v>411</v>
      </c>
      <c r="D91" s="42" t="s">
        <v>564</v>
      </c>
      <c r="E91" s="41" t="s">
        <v>565</v>
      </c>
      <c r="F91" s="37" t="s">
        <v>22</v>
      </c>
      <c r="G91" s="42" t="s">
        <v>566</v>
      </c>
      <c r="H91" s="42" t="s">
        <v>567</v>
      </c>
      <c r="I91" s="42" t="s">
        <v>568</v>
      </c>
      <c r="J91" s="42" t="s">
        <v>569</v>
      </c>
      <c r="K91" s="39" t="s">
        <v>27</v>
      </c>
      <c r="L91" s="41"/>
      <c r="M91" s="41"/>
      <c r="N91" s="51" t="s">
        <v>570</v>
      </c>
      <c r="O91" s="41" t="s">
        <v>29</v>
      </c>
      <c r="P91" s="41" t="s">
        <v>80</v>
      </c>
      <c r="Q91" s="41" t="s">
        <v>547</v>
      </c>
      <c r="R91" s="42" t="s">
        <v>571</v>
      </c>
    </row>
    <row r="92" spans="1:18" ht="28.5" x14ac:dyDescent="0.25">
      <c r="A92" s="35" t="s">
        <v>572</v>
      </c>
      <c r="B92" s="35">
        <v>10</v>
      </c>
      <c r="C92" s="36" t="s">
        <v>411</v>
      </c>
      <c r="D92" s="36" t="s">
        <v>573</v>
      </c>
      <c r="E92" s="35" t="s">
        <v>574</v>
      </c>
      <c r="F92" s="37" t="s">
        <v>22</v>
      </c>
      <c r="G92" s="36" t="s">
        <v>575</v>
      </c>
      <c r="H92" s="36" t="s">
        <v>576</v>
      </c>
      <c r="I92" s="36" t="s">
        <v>577</v>
      </c>
      <c r="J92" s="36" t="s">
        <v>578</v>
      </c>
      <c r="K92" s="39" t="s">
        <v>27</v>
      </c>
      <c r="L92" s="35"/>
      <c r="M92" s="35"/>
      <c r="N92" s="50" t="s">
        <v>562</v>
      </c>
      <c r="O92" s="35" t="s">
        <v>29</v>
      </c>
      <c r="P92" s="35" t="s">
        <v>80</v>
      </c>
      <c r="Q92" s="35" t="s">
        <v>547</v>
      </c>
      <c r="R92" s="36" t="s">
        <v>579</v>
      </c>
    </row>
    <row r="93" spans="1:18" ht="28.5" x14ac:dyDescent="0.25">
      <c r="A93" s="41" t="s">
        <v>580</v>
      </c>
      <c r="B93" s="41">
        <v>10</v>
      </c>
      <c r="C93" s="42" t="s">
        <v>411</v>
      </c>
      <c r="D93" s="42" t="s">
        <v>581</v>
      </c>
      <c r="E93" s="41" t="s">
        <v>582</v>
      </c>
      <c r="F93" s="37" t="s">
        <v>64</v>
      </c>
      <c r="G93" s="42" t="s">
        <v>583</v>
      </c>
      <c r="H93" s="42" t="s">
        <v>584</v>
      </c>
      <c r="I93" s="42" t="s">
        <v>585</v>
      </c>
      <c r="J93" s="42" t="s">
        <v>586</v>
      </c>
      <c r="K93" s="39" t="s">
        <v>27</v>
      </c>
      <c r="L93" s="41"/>
      <c r="M93" s="41"/>
      <c r="N93" s="51" t="s">
        <v>587</v>
      </c>
      <c r="O93" s="41" t="s">
        <v>29</v>
      </c>
      <c r="P93" s="41" t="s">
        <v>80</v>
      </c>
      <c r="Q93" s="41" t="s">
        <v>547</v>
      </c>
      <c r="R93" s="42" t="s">
        <v>588</v>
      </c>
    </row>
    <row r="94" spans="1:18" ht="28.5" x14ac:dyDescent="0.25">
      <c r="A94" s="35" t="s">
        <v>589</v>
      </c>
      <c r="B94" s="35">
        <v>10</v>
      </c>
      <c r="C94" s="36" t="s">
        <v>411</v>
      </c>
      <c r="D94" s="36" t="s">
        <v>590</v>
      </c>
      <c r="E94" s="35" t="s">
        <v>591</v>
      </c>
      <c r="F94" s="37" t="s">
        <v>592</v>
      </c>
      <c r="G94" s="36" t="s">
        <v>593</v>
      </c>
      <c r="H94" s="36" t="s">
        <v>594</v>
      </c>
      <c r="I94" s="36" t="s">
        <v>595</v>
      </c>
      <c r="J94" s="36" t="s">
        <v>596</v>
      </c>
      <c r="K94" s="39" t="s">
        <v>27</v>
      </c>
      <c r="L94" s="35"/>
      <c r="M94" s="35"/>
      <c r="N94" s="50" t="s">
        <v>570</v>
      </c>
      <c r="O94" s="35" t="s">
        <v>29</v>
      </c>
      <c r="P94" s="35" t="s">
        <v>80</v>
      </c>
      <c r="Q94" s="35" t="s">
        <v>547</v>
      </c>
      <c r="R94" s="36" t="s">
        <v>597</v>
      </c>
    </row>
    <row r="95" spans="1:18" ht="28.5" x14ac:dyDescent="0.25">
      <c r="A95" s="41" t="s">
        <v>598</v>
      </c>
      <c r="B95" s="41">
        <v>10</v>
      </c>
      <c r="C95" s="42" t="s">
        <v>411</v>
      </c>
      <c r="D95" s="42" t="s">
        <v>599</v>
      </c>
      <c r="E95" s="41" t="s">
        <v>600</v>
      </c>
      <c r="F95" s="37" t="s">
        <v>592</v>
      </c>
      <c r="G95" s="42" t="s">
        <v>601</v>
      </c>
      <c r="H95" s="42" t="s">
        <v>602</v>
      </c>
      <c r="I95" s="42" t="s">
        <v>603</v>
      </c>
      <c r="J95" s="42" t="s">
        <v>604</v>
      </c>
      <c r="K95" s="39" t="s">
        <v>27</v>
      </c>
      <c r="L95" s="41"/>
      <c r="M95" s="41"/>
      <c r="N95" s="51" t="s">
        <v>605</v>
      </c>
      <c r="O95" s="41" t="s">
        <v>29</v>
      </c>
      <c r="P95" s="41" t="s">
        <v>80</v>
      </c>
      <c r="Q95" s="41" t="s">
        <v>547</v>
      </c>
      <c r="R95" s="42" t="s">
        <v>606</v>
      </c>
    </row>
    <row r="96" spans="1:18" ht="85.5" x14ac:dyDescent="0.25">
      <c r="A96" s="35" t="s">
        <v>607</v>
      </c>
      <c r="B96" s="35">
        <v>14</v>
      </c>
      <c r="C96" s="36" t="s">
        <v>608</v>
      </c>
      <c r="D96" s="36" t="s">
        <v>609</v>
      </c>
      <c r="E96" s="35" t="s">
        <v>610</v>
      </c>
      <c r="F96" s="37" t="s">
        <v>22</v>
      </c>
      <c r="G96" s="36" t="s">
        <v>611</v>
      </c>
      <c r="H96" s="36" t="s">
        <v>612</v>
      </c>
      <c r="I96" s="36" t="s">
        <v>613</v>
      </c>
      <c r="J96" s="36" t="s">
        <v>614</v>
      </c>
      <c r="K96" s="39" t="s">
        <v>27</v>
      </c>
      <c r="L96" s="35" t="s">
        <v>21</v>
      </c>
      <c r="M96" s="35" t="s">
        <v>277</v>
      </c>
      <c r="N96" s="50" t="s">
        <v>615</v>
      </c>
      <c r="O96" s="35" t="s">
        <v>404</v>
      </c>
      <c r="P96" s="35" t="s">
        <v>616</v>
      </c>
      <c r="Q96" s="35" t="s">
        <v>617</v>
      </c>
      <c r="R96" s="36" t="s">
        <v>618</v>
      </c>
    </row>
    <row r="97" spans="1:18" ht="71.25" x14ac:dyDescent="0.25">
      <c r="A97" s="41" t="s">
        <v>619</v>
      </c>
      <c r="B97" s="41">
        <v>14</v>
      </c>
      <c r="C97" s="42" t="s">
        <v>620</v>
      </c>
      <c r="D97" s="42" t="s">
        <v>621</v>
      </c>
      <c r="E97" s="41" t="s">
        <v>622</v>
      </c>
      <c r="F97" s="37" t="s">
        <v>22</v>
      </c>
      <c r="G97" s="42" t="s">
        <v>623</v>
      </c>
      <c r="H97" s="42" t="s">
        <v>624</v>
      </c>
      <c r="I97" s="42" t="s">
        <v>625</v>
      </c>
      <c r="J97" s="42" t="s">
        <v>626</v>
      </c>
      <c r="K97" s="39" t="s">
        <v>27</v>
      </c>
      <c r="L97" s="41" t="s">
        <v>21</v>
      </c>
      <c r="M97" s="41" t="s">
        <v>277</v>
      </c>
      <c r="N97" s="51" t="s">
        <v>627</v>
      </c>
      <c r="O97" s="41" t="s">
        <v>404</v>
      </c>
      <c r="P97" s="41" t="s">
        <v>616</v>
      </c>
      <c r="Q97" s="41" t="s">
        <v>617</v>
      </c>
      <c r="R97" s="42" t="s">
        <v>628</v>
      </c>
    </row>
    <row r="98" spans="1:18" ht="99.75" x14ac:dyDescent="0.25">
      <c r="A98" s="35" t="s">
        <v>629</v>
      </c>
      <c r="B98" s="35">
        <v>14</v>
      </c>
      <c r="C98" s="36" t="s">
        <v>620</v>
      </c>
      <c r="D98" s="36" t="s">
        <v>630</v>
      </c>
      <c r="E98" s="35" t="s">
        <v>631</v>
      </c>
      <c r="F98" s="37" t="s">
        <v>22</v>
      </c>
      <c r="G98" s="36" t="s">
        <v>632</v>
      </c>
      <c r="H98" s="36" t="s">
        <v>633</v>
      </c>
      <c r="I98" s="36" t="s">
        <v>634</v>
      </c>
      <c r="J98" s="36" t="s">
        <v>635</v>
      </c>
      <c r="K98" s="39" t="s">
        <v>27</v>
      </c>
      <c r="L98" s="35" t="s">
        <v>21</v>
      </c>
      <c r="M98" s="35" t="s">
        <v>277</v>
      </c>
      <c r="N98" s="50" t="s">
        <v>636</v>
      </c>
      <c r="O98" s="35" t="s">
        <v>404</v>
      </c>
      <c r="P98" s="35" t="s">
        <v>616</v>
      </c>
      <c r="Q98" s="35" t="s">
        <v>617</v>
      </c>
      <c r="R98" s="36" t="s">
        <v>637</v>
      </c>
    </row>
    <row r="99" spans="1:18" ht="85.5" x14ac:dyDescent="0.25">
      <c r="A99" s="41" t="s">
        <v>638</v>
      </c>
      <c r="B99" s="41">
        <v>14</v>
      </c>
      <c r="C99" s="42" t="s">
        <v>620</v>
      </c>
      <c r="D99" s="42" t="s">
        <v>639</v>
      </c>
      <c r="E99" s="41" t="s">
        <v>640</v>
      </c>
      <c r="F99" s="37" t="s">
        <v>22</v>
      </c>
      <c r="G99" s="42" t="s">
        <v>641</v>
      </c>
      <c r="H99" s="42" t="s">
        <v>642</v>
      </c>
      <c r="I99" s="42" t="s">
        <v>643</v>
      </c>
      <c r="J99" s="42" t="s">
        <v>644</v>
      </c>
      <c r="K99" s="39" t="s">
        <v>27</v>
      </c>
      <c r="L99" s="41" t="s">
        <v>21</v>
      </c>
      <c r="M99" s="41" t="s">
        <v>277</v>
      </c>
      <c r="N99" s="51" t="s">
        <v>645</v>
      </c>
      <c r="O99" s="41" t="s">
        <v>404</v>
      </c>
      <c r="P99" s="41" t="s">
        <v>616</v>
      </c>
      <c r="Q99" s="41" t="s">
        <v>617</v>
      </c>
      <c r="R99" s="42" t="s">
        <v>646</v>
      </c>
    </row>
    <row r="100" spans="1:18" ht="99.75" x14ac:dyDescent="0.25">
      <c r="A100" s="35" t="s">
        <v>647</v>
      </c>
      <c r="B100" s="35">
        <v>14</v>
      </c>
      <c r="C100" s="36" t="s">
        <v>648</v>
      </c>
      <c r="D100" s="36" t="s">
        <v>649</v>
      </c>
      <c r="E100" s="35" t="s">
        <v>650</v>
      </c>
      <c r="F100" s="37" t="s">
        <v>22</v>
      </c>
      <c r="G100" s="36" t="s">
        <v>651</v>
      </c>
      <c r="H100" s="36" t="s">
        <v>652</v>
      </c>
      <c r="I100" s="36" t="s">
        <v>653</v>
      </c>
      <c r="J100" s="36" t="s">
        <v>654</v>
      </c>
      <c r="K100" s="39" t="s">
        <v>27</v>
      </c>
      <c r="L100" s="35" t="s">
        <v>21</v>
      </c>
      <c r="M100" s="35" t="s">
        <v>277</v>
      </c>
      <c r="N100" s="50" t="s">
        <v>655</v>
      </c>
      <c r="O100" s="35" t="s">
        <v>404</v>
      </c>
      <c r="P100" s="35" t="s">
        <v>616</v>
      </c>
      <c r="Q100" s="35" t="s">
        <v>617</v>
      </c>
      <c r="R100" s="36" t="s">
        <v>656</v>
      </c>
    </row>
    <row r="101" spans="1:18" ht="114" x14ac:dyDescent="0.25">
      <c r="A101" s="41" t="s">
        <v>657</v>
      </c>
      <c r="B101" s="41">
        <v>14</v>
      </c>
      <c r="C101" s="42" t="s">
        <v>658</v>
      </c>
      <c r="D101" s="42" t="s">
        <v>659</v>
      </c>
      <c r="E101" s="41" t="s">
        <v>660</v>
      </c>
      <c r="F101" s="37" t="s">
        <v>22</v>
      </c>
      <c r="G101" s="42" t="s">
        <v>661</v>
      </c>
      <c r="H101" s="42" t="s">
        <v>662</v>
      </c>
      <c r="I101" s="42" t="s">
        <v>663</v>
      </c>
      <c r="J101" s="42" t="s">
        <v>664</v>
      </c>
      <c r="K101" s="39" t="s">
        <v>27</v>
      </c>
      <c r="L101" s="41" t="s">
        <v>21</v>
      </c>
      <c r="M101" s="41" t="s">
        <v>277</v>
      </c>
      <c r="N101" s="51" t="s">
        <v>665</v>
      </c>
      <c r="O101" s="41" t="s">
        <v>404</v>
      </c>
      <c r="P101" s="41" t="s">
        <v>616</v>
      </c>
      <c r="Q101" s="41" t="s">
        <v>617</v>
      </c>
      <c r="R101" s="42" t="s">
        <v>666</v>
      </c>
    </row>
    <row r="102" spans="1:18" ht="85.5" x14ac:dyDescent="0.25">
      <c r="A102" s="35" t="s">
        <v>667</v>
      </c>
      <c r="B102" s="35">
        <v>14</v>
      </c>
      <c r="C102" s="36" t="s">
        <v>658</v>
      </c>
      <c r="D102" s="36" t="s">
        <v>668</v>
      </c>
      <c r="E102" s="35" t="s">
        <v>660</v>
      </c>
      <c r="F102" s="37" t="s">
        <v>22</v>
      </c>
      <c r="G102" s="36" t="s">
        <v>669</v>
      </c>
      <c r="H102" s="36" t="s">
        <v>670</v>
      </c>
      <c r="I102" s="36" t="s">
        <v>671</v>
      </c>
      <c r="J102" s="36" t="s">
        <v>672</v>
      </c>
      <c r="K102" s="39" t="s">
        <v>27</v>
      </c>
      <c r="L102" s="35" t="s">
        <v>21</v>
      </c>
      <c r="M102" s="35" t="s">
        <v>277</v>
      </c>
      <c r="N102" s="50" t="s">
        <v>673</v>
      </c>
      <c r="O102" s="35" t="s">
        <v>404</v>
      </c>
      <c r="P102" s="35" t="s">
        <v>616</v>
      </c>
      <c r="Q102" s="35" t="s">
        <v>617</v>
      </c>
      <c r="R102" s="36" t="s">
        <v>674</v>
      </c>
    </row>
    <row r="103" spans="1:18" ht="99.75" x14ac:dyDescent="0.25">
      <c r="A103" s="41" t="s">
        <v>675</v>
      </c>
      <c r="B103" s="41">
        <v>14</v>
      </c>
      <c r="C103" s="42" t="s">
        <v>658</v>
      </c>
      <c r="D103" s="42" t="s">
        <v>676</v>
      </c>
      <c r="E103" s="41" t="s">
        <v>660</v>
      </c>
      <c r="F103" s="37" t="s">
        <v>22</v>
      </c>
      <c r="G103" s="42" t="s">
        <v>677</v>
      </c>
      <c r="H103" s="42" t="s">
        <v>678</v>
      </c>
      <c r="I103" s="42" t="s">
        <v>679</v>
      </c>
      <c r="J103" s="42" t="s">
        <v>680</v>
      </c>
      <c r="K103" s="39" t="s">
        <v>27</v>
      </c>
      <c r="L103" s="41" t="s">
        <v>21</v>
      </c>
      <c r="M103" s="41" t="s">
        <v>277</v>
      </c>
      <c r="N103" s="51" t="s">
        <v>681</v>
      </c>
      <c r="O103" s="41" t="s">
        <v>404</v>
      </c>
      <c r="P103" s="41" t="s">
        <v>616</v>
      </c>
      <c r="Q103" s="41" t="s">
        <v>617</v>
      </c>
      <c r="R103" s="42" t="s">
        <v>682</v>
      </c>
    </row>
    <row r="104" spans="1:18" ht="85.5" x14ac:dyDescent="0.25">
      <c r="A104" s="35" t="s">
        <v>683</v>
      </c>
      <c r="B104" s="35">
        <v>14</v>
      </c>
      <c r="C104" s="36" t="s">
        <v>658</v>
      </c>
      <c r="D104" s="36" t="s">
        <v>684</v>
      </c>
      <c r="E104" s="35" t="s">
        <v>685</v>
      </c>
      <c r="F104" s="37" t="s">
        <v>22</v>
      </c>
      <c r="G104" s="36" t="s">
        <v>686</v>
      </c>
      <c r="H104" s="36" t="s">
        <v>687</v>
      </c>
      <c r="I104" s="36" t="s">
        <v>688</v>
      </c>
      <c r="J104" s="36" t="s">
        <v>689</v>
      </c>
      <c r="K104" s="39" t="s">
        <v>27</v>
      </c>
      <c r="L104" s="35" t="s">
        <v>21</v>
      </c>
      <c r="M104" s="35" t="s">
        <v>277</v>
      </c>
      <c r="N104" s="50" t="s">
        <v>690</v>
      </c>
      <c r="O104" s="35" t="s">
        <v>404</v>
      </c>
      <c r="P104" s="35" t="s">
        <v>616</v>
      </c>
      <c r="Q104" s="35" t="s">
        <v>617</v>
      </c>
      <c r="R104" s="36" t="s">
        <v>691</v>
      </c>
    </row>
    <row r="105" spans="1:18" ht="85.5" x14ac:dyDescent="0.25">
      <c r="A105" s="41" t="s">
        <v>692</v>
      </c>
      <c r="B105" s="41">
        <v>14</v>
      </c>
      <c r="C105" s="42" t="s">
        <v>658</v>
      </c>
      <c r="D105" s="42" t="s">
        <v>693</v>
      </c>
      <c r="E105" s="41" t="s">
        <v>685</v>
      </c>
      <c r="F105" s="37" t="s">
        <v>22</v>
      </c>
      <c r="G105" s="42" t="s">
        <v>694</v>
      </c>
      <c r="H105" s="42" t="s">
        <v>695</v>
      </c>
      <c r="I105" s="42" t="s">
        <v>696</v>
      </c>
      <c r="J105" s="42" t="s">
        <v>697</v>
      </c>
      <c r="K105" s="39" t="s">
        <v>27</v>
      </c>
      <c r="L105" s="41" t="s">
        <v>21</v>
      </c>
      <c r="M105" s="41" t="s">
        <v>277</v>
      </c>
      <c r="N105" s="51" t="s">
        <v>698</v>
      </c>
      <c r="O105" s="41" t="s">
        <v>404</v>
      </c>
      <c r="P105" s="41" t="s">
        <v>616</v>
      </c>
      <c r="Q105" s="41" t="s">
        <v>617</v>
      </c>
      <c r="R105" s="42" t="s">
        <v>699</v>
      </c>
    </row>
    <row r="106" spans="1:18" ht="99.75" x14ac:dyDescent="0.25">
      <c r="A106" s="35" t="s">
        <v>700</v>
      </c>
      <c r="B106" s="35">
        <v>14</v>
      </c>
      <c r="C106" s="36" t="s">
        <v>658</v>
      </c>
      <c r="D106" s="36" t="s">
        <v>701</v>
      </c>
      <c r="E106" s="35" t="s">
        <v>685</v>
      </c>
      <c r="F106" s="37" t="s">
        <v>22</v>
      </c>
      <c r="G106" s="36" t="s">
        <v>702</v>
      </c>
      <c r="H106" s="36" t="s">
        <v>703</v>
      </c>
      <c r="I106" s="36" t="s">
        <v>704</v>
      </c>
      <c r="J106" s="36" t="s">
        <v>705</v>
      </c>
      <c r="K106" s="39" t="s">
        <v>27</v>
      </c>
      <c r="L106" s="35" t="s">
        <v>21</v>
      </c>
      <c r="M106" s="35" t="s">
        <v>277</v>
      </c>
      <c r="N106" s="50" t="s">
        <v>706</v>
      </c>
      <c r="O106" s="35" t="s">
        <v>404</v>
      </c>
      <c r="P106" s="35" t="s">
        <v>616</v>
      </c>
      <c r="Q106" s="35" t="s">
        <v>617</v>
      </c>
      <c r="R106" s="36" t="s">
        <v>707</v>
      </c>
    </row>
    <row r="107" spans="1:18" ht="114" x14ac:dyDescent="0.25">
      <c r="A107" s="41" t="s">
        <v>708</v>
      </c>
      <c r="B107" s="41">
        <v>14</v>
      </c>
      <c r="C107" s="42" t="s">
        <v>658</v>
      </c>
      <c r="D107" s="42" t="s">
        <v>709</v>
      </c>
      <c r="E107" s="41" t="s">
        <v>710</v>
      </c>
      <c r="F107" s="37" t="s">
        <v>22</v>
      </c>
      <c r="G107" s="42" t="s">
        <v>711</v>
      </c>
      <c r="H107" s="42" t="s">
        <v>712</v>
      </c>
      <c r="I107" s="42" t="s">
        <v>713</v>
      </c>
      <c r="J107" s="42" t="s">
        <v>714</v>
      </c>
      <c r="K107" s="39" t="s">
        <v>27</v>
      </c>
      <c r="L107" s="41" t="s">
        <v>21</v>
      </c>
      <c r="M107" s="41" t="s">
        <v>277</v>
      </c>
      <c r="N107" s="51" t="s">
        <v>715</v>
      </c>
      <c r="O107" s="41" t="s">
        <v>404</v>
      </c>
      <c r="P107" s="41" t="s">
        <v>616</v>
      </c>
      <c r="Q107" s="41" t="s">
        <v>617</v>
      </c>
      <c r="R107" s="42" t="s">
        <v>716</v>
      </c>
    </row>
    <row r="108" spans="1:18" ht="128.25" x14ac:dyDescent="0.25">
      <c r="A108" s="35" t="s">
        <v>717</v>
      </c>
      <c r="B108" s="35">
        <v>14</v>
      </c>
      <c r="C108" s="36" t="s">
        <v>718</v>
      </c>
      <c r="D108" s="36" t="s">
        <v>719</v>
      </c>
      <c r="E108" s="35" t="s">
        <v>650</v>
      </c>
      <c r="F108" s="37" t="s">
        <v>22</v>
      </c>
      <c r="G108" s="36" t="s">
        <v>720</v>
      </c>
      <c r="H108" s="36" t="s">
        <v>721</v>
      </c>
      <c r="I108" s="36" t="s">
        <v>722</v>
      </c>
      <c r="J108" s="36" t="s">
        <v>723</v>
      </c>
      <c r="K108" s="39" t="s">
        <v>27</v>
      </c>
      <c r="L108" s="35" t="s">
        <v>21</v>
      </c>
      <c r="M108" s="35" t="s">
        <v>277</v>
      </c>
      <c r="N108" s="50" t="s">
        <v>724</v>
      </c>
      <c r="O108" s="35" t="s">
        <v>404</v>
      </c>
      <c r="P108" s="35" t="s">
        <v>616</v>
      </c>
      <c r="Q108" s="35" t="s">
        <v>617</v>
      </c>
      <c r="R108" s="36" t="s">
        <v>725</v>
      </c>
    </row>
    <row r="109" spans="1:18" ht="71.25" x14ac:dyDescent="0.25">
      <c r="A109" s="41" t="s">
        <v>726</v>
      </c>
      <c r="B109" s="41">
        <v>14</v>
      </c>
      <c r="C109" s="42" t="s">
        <v>718</v>
      </c>
      <c r="D109" s="42" t="s">
        <v>727</v>
      </c>
      <c r="E109" s="41" t="s">
        <v>728</v>
      </c>
      <c r="F109" s="37" t="s">
        <v>22</v>
      </c>
      <c r="G109" s="42" t="s">
        <v>729</v>
      </c>
      <c r="H109" s="42" t="s">
        <v>730</v>
      </c>
      <c r="I109" s="42" t="s">
        <v>731</v>
      </c>
      <c r="J109" s="42" t="s">
        <v>732</v>
      </c>
      <c r="K109" s="39" t="s">
        <v>27</v>
      </c>
      <c r="L109" s="41" t="s">
        <v>21</v>
      </c>
      <c r="M109" s="41" t="s">
        <v>277</v>
      </c>
      <c r="N109" s="51" t="s">
        <v>733</v>
      </c>
      <c r="O109" s="41" t="s">
        <v>404</v>
      </c>
      <c r="P109" s="41" t="s">
        <v>616</v>
      </c>
      <c r="Q109" s="41" t="s">
        <v>617</v>
      </c>
      <c r="R109" s="42" t="s">
        <v>734</v>
      </c>
    </row>
    <row r="110" spans="1:18" ht="114" x14ac:dyDescent="0.25">
      <c r="A110" s="35" t="s">
        <v>735</v>
      </c>
      <c r="B110" s="35">
        <v>14</v>
      </c>
      <c r="C110" s="36" t="s">
        <v>736</v>
      </c>
      <c r="D110" s="36" t="s">
        <v>737</v>
      </c>
      <c r="E110" s="35" t="s">
        <v>738</v>
      </c>
      <c r="F110" s="37" t="s">
        <v>22</v>
      </c>
      <c r="G110" s="36" t="s">
        <v>739</v>
      </c>
      <c r="H110" s="36" t="s">
        <v>740</v>
      </c>
      <c r="I110" s="36" t="s">
        <v>741</v>
      </c>
      <c r="J110" s="36" t="s">
        <v>742</v>
      </c>
      <c r="K110" s="39" t="s">
        <v>27</v>
      </c>
      <c r="L110" s="35" t="s">
        <v>21</v>
      </c>
      <c r="M110" s="35" t="s">
        <v>277</v>
      </c>
      <c r="N110" s="50" t="s">
        <v>743</v>
      </c>
      <c r="O110" s="35" t="s">
        <v>404</v>
      </c>
      <c r="P110" s="35" t="s">
        <v>616</v>
      </c>
      <c r="Q110" s="35" t="s">
        <v>617</v>
      </c>
      <c r="R110" s="36" t="s">
        <v>744</v>
      </c>
    </row>
    <row r="111" spans="1:18" ht="99.75" x14ac:dyDescent="0.25">
      <c r="A111" s="41" t="s">
        <v>745</v>
      </c>
      <c r="B111" s="41">
        <v>14</v>
      </c>
      <c r="C111" s="42" t="s">
        <v>289</v>
      </c>
      <c r="D111" s="42" t="s">
        <v>746</v>
      </c>
      <c r="E111" s="41" t="s">
        <v>747</v>
      </c>
      <c r="F111" s="37" t="s">
        <v>22</v>
      </c>
      <c r="G111" s="42" t="s">
        <v>748</v>
      </c>
      <c r="H111" s="42" t="s">
        <v>749</v>
      </c>
      <c r="I111" s="42" t="s">
        <v>750</v>
      </c>
      <c r="J111" s="42" t="s">
        <v>751</v>
      </c>
      <c r="K111" s="39" t="s">
        <v>27</v>
      </c>
      <c r="L111" s="41" t="s">
        <v>21</v>
      </c>
      <c r="M111" s="41" t="s">
        <v>277</v>
      </c>
      <c r="N111" s="51" t="s">
        <v>752</v>
      </c>
      <c r="O111" s="41" t="s">
        <v>404</v>
      </c>
      <c r="P111" s="41" t="s">
        <v>616</v>
      </c>
      <c r="Q111" s="41" t="s">
        <v>617</v>
      </c>
      <c r="R111" s="42" t="s">
        <v>753</v>
      </c>
    </row>
    <row r="112" spans="1:18" ht="57" x14ac:dyDescent="0.25">
      <c r="A112" s="35" t="s">
        <v>1053</v>
      </c>
      <c r="B112" s="35">
        <v>16</v>
      </c>
      <c r="C112" s="36" t="s">
        <v>1054</v>
      </c>
      <c r="D112" s="36" t="s">
        <v>1055</v>
      </c>
      <c r="E112" s="35" t="s">
        <v>1056</v>
      </c>
      <c r="F112" s="37" t="s">
        <v>272</v>
      </c>
      <c r="G112" s="36" t="s">
        <v>1057</v>
      </c>
      <c r="H112" s="36" t="s">
        <v>1058</v>
      </c>
      <c r="I112" s="36" t="s">
        <v>1059</v>
      </c>
      <c r="J112" s="36" t="s">
        <v>1060</v>
      </c>
      <c r="K112" s="39" t="s">
        <v>27</v>
      </c>
      <c r="L112" s="35" t="s">
        <v>21</v>
      </c>
      <c r="M112" s="35" t="s">
        <v>277</v>
      </c>
      <c r="N112" s="55" t="str">
        <f>HYPERLINK("evidence/screenshots/Hari-16/2026-10-27_Hari-16_TC-H16-001_network-throttling-3g-dashboard-kpi.png", "2026-10-27_Hari-16_TC-H16-001_network-throttling-3g-dashboard-kpi.png")</f>
        <v>2026-10-27_Hari-16_TC-H16-001_network-throttling-3g-dashboard-kpi.png</v>
      </c>
      <c r="O112" s="35" t="s">
        <v>404</v>
      </c>
      <c r="P112" s="53">
        <v>46322</v>
      </c>
      <c r="Q112" s="35"/>
      <c r="R112" s="36"/>
    </row>
    <row r="113" spans="1:18" ht="57" x14ac:dyDescent="0.25">
      <c r="A113" s="41" t="s">
        <v>1061</v>
      </c>
      <c r="B113" s="41">
        <v>16</v>
      </c>
      <c r="C113" s="42" t="s">
        <v>1062</v>
      </c>
      <c r="D113" s="42" t="s">
        <v>1063</v>
      </c>
      <c r="E113" s="41" t="s">
        <v>1064</v>
      </c>
      <c r="F113" s="37" t="s">
        <v>272</v>
      </c>
      <c r="G113" s="42" t="s">
        <v>1065</v>
      </c>
      <c r="H113" s="42" t="s">
        <v>1066</v>
      </c>
      <c r="I113" s="42" t="s">
        <v>1067</v>
      </c>
      <c r="J113" s="42" t="s">
        <v>1068</v>
      </c>
      <c r="K113" s="39" t="s">
        <v>27</v>
      </c>
      <c r="L113" s="41" t="s">
        <v>21</v>
      </c>
      <c r="M113" s="41" t="s">
        <v>277</v>
      </c>
      <c r="N113" s="54" t="str">
        <f>HYPERLINK("evidence/screenshots/Hari-16/2026-10-27_Hari-16_TC-H16-002_mobile-viewport-dashboard-kpi-layout.png", "2026-10-27_Hari-16_TC-H16-002_mobile-viewport-dashboard-kpi-layout.png")</f>
        <v>2026-10-27_Hari-16_TC-H16-002_mobile-viewport-dashboard-kpi-layout.png</v>
      </c>
      <c r="O113" s="41" t="s">
        <v>404</v>
      </c>
      <c r="P113" s="52">
        <v>46322</v>
      </c>
      <c r="Q113" s="41"/>
      <c r="R113" s="42"/>
    </row>
    <row r="114" spans="1:18" ht="71.25" x14ac:dyDescent="0.25">
      <c r="A114" s="35" t="s">
        <v>1069</v>
      </c>
      <c r="B114" s="35">
        <v>16</v>
      </c>
      <c r="C114" s="36" t="s">
        <v>1070</v>
      </c>
      <c r="D114" s="36" t="s">
        <v>1071</v>
      </c>
      <c r="E114" s="35" t="s">
        <v>1072</v>
      </c>
      <c r="F114" s="37" t="s">
        <v>272</v>
      </c>
      <c r="G114" s="36" t="s">
        <v>1073</v>
      </c>
      <c r="H114" s="36" t="s">
        <v>1074</v>
      </c>
      <c r="I114" s="36" t="s">
        <v>1075</v>
      </c>
      <c r="J114" s="36" t="s">
        <v>1076</v>
      </c>
      <c r="K114" s="39" t="s">
        <v>27</v>
      </c>
      <c r="L114" s="35" t="s">
        <v>21</v>
      </c>
      <c r="M114" s="35" t="s">
        <v>277</v>
      </c>
      <c r="N114" s="55" t="str">
        <f>HYPERLINK("evidence/screenshots/Hari-16/2026-10-27_Hari-16_TC-H16-003_mobile-user-profile-account-switcher-dropdown.png", "2026-10-27_Hari-16_TC-H16-003_mobile-user-profile-account-switcher-dropdown.png")</f>
        <v>2026-10-27_Hari-16_TC-H16-003_mobile-user-profile-account-switcher-dropdown.png</v>
      </c>
      <c r="O114" s="35" t="s">
        <v>404</v>
      </c>
      <c r="P114" s="53">
        <v>46322</v>
      </c>
      <c r="Q114" s="35"/>
      <c r="R114" s="36"/>
    </row>
    <row r="115" spans="1:18" ht="57" x14ac:dyDescent="0.25">
      <c r="A115" s="41" t="s">
        <v>1077</v>
      </c>
      <c r="B115" s="41">
        <v>16</v>
      </c>
      <c r="C115" s="42" t="s">
        <v>1007</v>
      </c>
      <c r="D115" s="42" t="s">
        <v>1078</v>
      </c>
      <c r="E115" s="41" t="s">
        <v>1064</v>
      </c>
      <c r="F115" s="37" t="s">
        <v>272</v>
      </c>
      <c r="G115" s="42" t="s">
        <v>1079</v>
      </c>
      <c r="H115" s="42" t="s">
        <v>1080</v>
      </c>
      <c r="I115" s="42" t="s">
        <v>1081</v>
      </c>
      <c r="J115" s="42" t="s">
        <v>1082</v>
      </c>
      <c r="K115" s="39" t="s">
        <v>27</v>
      </c>
      <c r="L115" s="41" t="s">
        <v>21</v>
      </c>
      <c r="M115" s="41" t="s">
        <v>277</v>
      </c>
      <c r="N115" s="54" t="str">
        <f>HYPERLINK("evidence/screenshots/Hari-16/2026-10-27_Hari-16_TC-H16-004_mobile-devices-table-horizontal-swipe-scroll.png", "2026-10-27_Hari-16_TC-H16-004_mobile-devices-table-horizontal-swipe-scroll.png")</f>
        <v>2026-10-27_Hari-16_TC-H16-004_mobile-devices-table-horizontal-swipe-scroll.png</v>
      </c>
      <c r="O115" s="41" t="s">
        <v>404</v>
      </c>
      <c r="P115" s="52">
        <v>46322</v>
      </c>
      <c r="Q115" s="41"/>
      <c r="R115" s="42"/>
    </row>
    <row r="116" spans="1:18" ht="42.75" x14ac:dyDescent="0.25">
      <c r="A116" s="35" t="s">
        <v>1083</v>
      </c>
      <c r="B116" s="35">
        <v>16</v>
      </c>
      <c r="C116" s="36" t="s">
        <v>1007</v>
      </c>
      <c r="D116" s="36" t="s">
        <v>1084</v>
      </c>
      <c r="E116" s="35" t="s">
        <v>1072</v>
      </c>
      <c r="F116" s="37" t="s">
        <v>272</v>
      </c>
      <c r="G116" s="36" t="s">
        <v>1085</v>
      </c>
      <c r="H116" s="36" t="s">
        <v>1086</v>
      </c>
      <c r="I116" s="36" t="s">
        <v>1087</v>
      </c>
      <c r="J116" s="36" t="s">
        <v>1088</v>
      </c>
      <c r="K116" s="39" t="s">
        <v>27</v>
      </c>
      <c r="L116" s="35" t="s">
        <v>21</v>
      </c>
      <c r="M116" s="35" t="s">
        <v>277</v>
      </c>
      <c r="N116" s="55" t="str">
        <f>HYPERLINK("evidence/screenshots/Hari-16/2026-10-27_Hari-16_TC-H16-005_mobile-devices-table-full-inventory-rendering.png", "2026-10-27_Hari-16_TC-H16-005_mobile-devices-table-full-inventory-rendering.png")</f>
        <v>2026-10-27_Hari-16_TC-H16-005_mobile-devices-table-full-inventory-rendering.png</v>
      </c>
      <c r="O116" s="35" t="s">
        <v>404</v>
      </c>
      <c r="P116" s="53">
        <v>46322</v>
      </c>
      <c r="Q116" s="35"/>
      <c r="R116" s="36"/>
    </row>
    <row r="117" spans="1:18" ht="57" x14ac:dyDescent="0.25">
      <c r="A117" s="41" t="s">
        <v>1089</v>
      </c>
      <c r="B117" s="41">
        <v>16</v>
      </c>
      <c r="C117" s="42" t="s">
        <v>1090</v>
      </c>
      <c r="D117" s="42" t="s">
        <v>1091</v>
      </c>
      <c r="E117" s="41" t="s">
        <v>1092</v>
      </c>
      <c r="F117" s="37" t="s">
        <v>1093</v>
      </c>
      <c r="G117" s="42" t="s">
        <v>1094</v>
      </c>
      <c r="H117" s="42" t="s">
        <v>1095</v>
      </c>
      <c r="I117" s="42" t="s">
        <v>1096</v>
      </c>
      <c r="J117" s="42" t="s">
        <v>1097</v>
      </c>
      <c r="K117" s="39" t="s">
        <v>27</v>
      </c>
      <c r="L117" s="41" t="s">
        <v>21</v>
      </c>
      <c r="M117" s="41" t="s">
        <v>277</v>
      </c>
      <c r="N117" s="54" t="str">
        <f>HYPERLINK("evidence/screenshots/Hari-16/2026-10-27_Hari-16_TC-H16-006_backend-api-error-sanitization-404-zero-leakage.png", "2026-10-27_Hari-16_TC-H16-006_backend-api-error-sanitization-404-zero-leakage.png")</f>
        <v>2026-10-27_Hari-16_TC-H16-006_backend-api-error-sanitization-404-zero-leakage.png</v>
      </c>
      <c r="O117" s="41" t="s">
        <v>404</v>
      </c>
      <c r="P117" s="52">
        <v>46322</v>
      </c>
      <c r="Q117" s="41"/>
      <c r="R117" s="42"/>
    </row>
    <row r="118" spans="1:18" ht="42.75" x14ac:dyDescent="0.25">
      <c r="A118" s="35" t="s">
        <v>1098</v>
      </c>
      <c r="B118" s="35">
        <v>16</v>
      </c>
      <c r="C118" s="36" t="s">
        <v>1007</v>
      </c>
      <c r="D118" s="36" t="s">
        <v>1099</v>
      </c>
      <c r="E118" s="35" t="s">
        <v>728</v>
      </c>
      <c r="F118" s="37" t="s">
        <v>272</v>
      </c>
      <c r="G118" s="36" t="s">
        <v>1100</v>
      </c>
      <c r="H118" s="36" t="s">
        <v>1101</v>
      </c>
      <c r="I118" s="36" t="s">
        <v>1102</v>
      </c>
      <c r="J118" s="36" t="s">
        <v>1103</v>
      </c>
      <c r="K118" s="39" t="s">
        <v>27</v>
      </c>
      <c r="L118" s="35" t="s">
        <v>21</v>
      </c>
      <c r="M118" s="35" t="s">
        <v>277</v>
      </c>
      <c r="N118" s="55" t="str">
        <f>HYPERLINK("evidence/screenshots/Hari-16/2026-10-27_Hari-16_TC-H16-007_device-keyword-search-cctv-filter-integrity.png", "2026-10-27_Hari-16_TC-H16-007_device-keyword-search-cctv-filter-integrity.png")</f>
        <v>2026-10-27_Hari-16_TC-H16-007_device-keyword-search-cctv-filter-integrity.png</v>
      </c>
      <c r="O118" s="35" t="s">
        <v>404</v>
      </c>
      <c r="P118" s="53">
        <v>46322</v>
      </c>
      <c r="Q118" s="35"/>
      <c r="R118" s="36"/>
    </row>
  </sheetData>
  <hyperlinks>
    <hyperlink ref="N12" r:id="rId1" xr:uid="{00000000-0004-0000-0000-000000000000}"/>
    <hyperlink ref="N13" r:id="rId2" xr:uid="{00000000-0004-0000-0000-000001000000}"/>
    <hyperlink ref="N14" r:id="rId3" xr:uid="{00000000-0004-0000-0000-000002000000}"/>
    <hyperlink ref="N15" r:id="rId4" xr:uid="{00000000-0004-0000-0000-000003000000}"/>
    <hyperlink ref="N16" r:id="rId5" xr:uid="{00000000-0004-0000-0000-000004000000}"/>
    <hyperlink ref="N17" r:id="rId6" xr:uid="{00000000-0004-0000-0000-000005000000}"/>
    <hyperlink ref="N18" r:id="rId7" xr:uid="{00000000-0004-0000-0000-000006000000}"/>
    <hyperlink ref="N19" r:id="rId8" xr:uid="{00000000-0004-0000-0000-000007000000}"/>
    <hyperlink ref="N20" r:id="rId9" xr:uid="{00000000-0004-0000-0000-000008000000}"/>
    <hyperlink ref="N21" r:id="rId10" xr:uid="{00000000-0004-0000-0000-000009000000}"/>
    <hyperlink ref="N22" r:id="rId11" xr:uid="{00000000-0004-0000-0000-00000A000000}"/>
    <hyperlink ref="N23" r:id="rId12" xr:uid="{00000000-0004-0000-0000-00000B000000}"/>
    <hyperlink ref="N24" r:id="rId13" xr:uid="{00000000-0004-0000-0000-00000C000000}"/>
    <hyperlink ref="N25" r:id="rId14" xr:uid="{00000000-0004-0000-0000-00000D000000}"/>
    <hyperlink ref="N26" r:id="rId15" xr:uid="{00000000-0004-0000-0000-00000E000000}"/>
    <hyperlink ref="N27" r:id="rId16" xr:uid="{00000000-0004-0000-0000-00000F000000}"/>
    <hyperlink ref="N28" r:id="rId17" xr:uid="{00000000-0004-0000-0000-000010000000}"/>
    <hyperlink ref="N29" r:id="rId18" xr:uid="{00000000-0004-0000-0000-000011000000}"/>
    <hyperlink ref="N30" r:id="rId19" xr:uid="{00000000-0004-0000-0000-000012000000}"/>
    <hyperlink ref="N31" r:id="rId20" xr:uid="{00000000-0004-0000-0000-000013000000}"/>
    <hyperlink ref="N32" r:id="rId21" xr:uid="{00000000-0004-0000-0000-000014000000}"/>
    <hyperlink ref="N33" r:id="rId22" xr:uid="{00000000-0004-0000-0000-000015000000}"/>
    <hyperlink ref="N43" r:id="rId23" xr:uid="{00000000-0004-0000-0000-000016000000}"/>
    <hyperlink ref="N45" r:id="rId24" xr:uid="{00000000-0004-0000-0000-000017000000}"/>
    <hyperlink ref="N46" r:id="rId25" xr:uid="{00000000-0004-0000-0000-000018000000}"/>
    <hyperlink ref="N51" r:id="rId26" xr:uid="{00000000-0004-0000-0000-000019000000}"/>
    <hyperlink ref="N54" r:id="rId27" xr:uid="{00000000-0004-0000-0000-00001A000000}"/>
    <hyperlink ref="N55" r:id="rId28" xr:uid="{00000000-0004-0000-0000-00001B000000}"/>
    <hyperlink ref="N56" r:id="rId29" xr:uid="{00000000-0004-0000-0000-00001C000000}"/>
    <hyperlink ref="N57" r:id="rId30" xr:uid="{00000000-0004-0000-0000-00001D000000}"/>
    <hyperlink ref="N58" r:id="rId31" xr:uid="{00000000-0004-0000-0000-00001E000000}"/>
    <hyperlink ref="N59" r:id="rId32" xr:uid="{00000000-0004-0000-0000-00001F000000}"/>
    <hyperlink ref="N60" r:id="rId33" xr:uid="{00000000-0004-0000-0000-000020000000}"/>
    <hyperlink ref="N61" r:id="rId34" xr:uid="{00000000-0004-0000-0000-000021000000}"/>
    <hyperlink ref="N73" r:id="rId35" xr:uid="{00000000-0004-0000-0000-000027000000}"/>
    <hyperlink ref="N74" r:id="rId36" xr:uid="{00000000-0004-0000-0000-000028000000}"/>
    <hyperlink ref="N75" r:id="rId37" xr:uid="{00000000-0004-0000-0000-000029000000}"/>
    <hyperlink ref="N76" r:id="rId38" xr:uid="{00000000-0004-0000-0000-00002A000000}"/>
    <hyperlink ref="N77" r:id="rId39" xr:uid="{00000000-0004-0000-0000-00002B000000}"/>
    <hyperlink ref="N78" r:id="rId40" xr:uid="{00000000-0004-0000-0000-00002C000000}"/>
    <hyperlink ref="N79" r:id="rId41" xr:uid="{00000000-0004-0000-0000-00002D000000}"/>
    <hyperlink ref="N80" r:id="rId42" xr:uid="{00000000-0004-0000-0000-00002E000000}"/>
    <hyperlink ref="N81" r:id="rId43" xr:uid="{00000000-0004-0000-0000-00002F000000}"/>
    <hyperlink ref="N82" r:id="rId44" xr:uid="{00000000-0004-0000-0000-000030000000}"/>
    <hyperlink ref="N83" r:id="rId45" xr:uid="{00000000-0004-0000-0000-000031000000}"/>
    <hyperlink ref="N84" r:id="rId46" xr:uid="{00000000-0004-0000-0000-000032000000}"/>
    <hyperlink ref="N85" r:id="rId47" xr:uid="{00000000-0004-0000-0000-000033000000}"/>
    <hyperlink ref="N86" r:id="rId48" xr:uid="{00000000-0004-0000-0000-000034000000}"/>
    <hyperlink ref="N87" r:id="rId49" xr:uid="{00000000-0004-0000-0000-000035000000}"/>
    <hyperlink ref="N88" r:id="rId50" xr:uid="{00000000-0004-0000-0000-000036000000}"/>
    <hyperlink ref="N89" r:id="rId51" xr:uid="{00000000-0004-0000-0000-000037000000}"/>
    <hyperlink ref="N90" r:id="rId52" xr:uid="{00000000-0004-0000-0000-000038000000}"/>
    <hyperlink ref="N91" r:id="rId53" xr:uid="{00000000-0004-0000-0000-000039000000}"/>
    <hyperlink ref="N92" r:id="rId54" xr:uid="{00000000-0004-0000-0000-00003A000000}"/>
    <hyperlink ref="N93" r:id="rId55" xr:uid="{00000000-0004-0000-0000-00003B000000}"/>
    <hyperlink ref="N94" r:id="rId56" xr:uid="{00000000-0004-0000-0000-00003C000000}"/>
    <hyperlink ref="N95" r:id="rId57" xr:uid="{00000000-0004-0000-0000-00003D000000}"/>
    <hyperlink ref="N96" r:id="rId58" xr:uid="{00000000-0004-0000-0000-00003E000000}"/>
    <hyperlink ref="N97" r:id="rId59" xr:uid="{00000000-0004-0000-0000-00003F000000}"/>
    <hyperlink ref="N98" r:id="rId60" xr:uid="{00000000-0004-0000-0000-000040000000}"/>
    <hyperlink ref="N99" r:id="rId61" xr:uid="{00000000-0004-0000-0000-000041000000}"/>
    <hyperlink ref="N100" r:id="rId62" xr:uid="{00000000-0004-0000-0000-000042000000}"/>
    <hyperlink ref="N101" r:id="rId63" xr:uid="{00000000-0004-0000-0000-000043000000}"/>
    <hyperlink ref="N102" r:id="rId64" xr:uid="{00000000-0004-0000-0000-000044000000}"/>
    <hyperlink ref="N103" r:id="rId65" xr:uid="{00000000-0004-0000-0000-000045000000}"/>
    <hyperlink ref="N104" r:id="rId66" xr:uid="{00000000-0004-0000-0000-000046000000}"/>
    <hyperlink ref="N105" r:id="rId67" xr:uid="{00000000-0004-0000-0000-000047000000}"/>
    <hyperlink ref="N106" r:id="rId68" xr:uid="{00000000-0004-0000-0000-000048000000}"/>
    <hyperlink ref="N107" r:id="rId69" xr:uid="{00000000-0004-0000-0000-000049000000}"/>
    <hyperlink ref="N108" r:id="rId70" xr:uid="{00000000-0004-0000-0000-00004A000000}"/>
    <hyperlink ref="N109" r:id="rId71" xr:uid="{00000000-0004-0000-0000-00004B000000}"/>
    <hyperlink ref="N110" r:id="rId72" xr:uid="{00000000-0004-0000-0000-00004C000000}"/>
    <hyperlink ref="N111" r:id="rId73" xr:uid="{00000000-0004-0000-0000-00004D000000}"/>
    <hyperlink ref="N67" r:id="rId74" xr:uid="{B055741D-C1D3-41BF-BF8F-D9C59BE121B6}"/>
    <hyperlink ref="N68" r:id="rId75" xr:uid="{0C81473D-73C2-40C3-8369-A7A31B532E7C}"/>
    <hyperlink ref="N69" r:id="rId76" xr:uid="{022782C2-EC41-4E3E-9B60-622ED6199469}"/>
    <hyperlink ref="N70" r:id="rId77" xr:uid="{8D48B14F-5B96-4013-BF36-44D8E733794C}"/>
    <hyperlink ref="N71" r:id="rId78" xr:uid="{EEDC24C4-D93D-4655-9461-D8AF36FD26DB}"/>
    <hyperlink ref="N72" r:id="rId79" xr:uid="{12D4C9A3-6BC5-4A52-9045-6452F292C102}"/>
    <hyperlink ref="N112" r:id="rId80" tooltip="Klik untuk membuka bukti screenshot 2026-10-27_Hari-16_TC-H16-001_network-throttling-3g-dashboard-kpi.png" display="2026-10-27_Hari-16_TC-H16-001_network-throttling-3g-dashboard-kpi.png" xr:uid="{070C1A69-6A0B-406D-975E-CD7B2DB2CC63}"/>
    <hyperlink ref="N113" r:id="rId81" tooltip="Klik untuk membuka bukti screenshot 2026-10-27_Hari-16_TC-H16-002_mobile-viewport-dashboard-kpi-layout.png" display="2026-10-27_Hari-16_TC-H16-002_mobile-viewport-dashboard-kpi-layout.png" xr:uid="{E481732C-C6BE-4A36-B74B-D1503BEF885A}"/>
    <hyperlink ref="N114" r:id="rId82" tooltip="Klik untuk membuka bukti screenshot 2026-10-27_Hari-16_TC-H16-003_mobile-user-profile-account-switcher-dropdown.png" display="2026-10-27_Hari-16_TC-H16-003_mobile-user-profile-account-switcher-dropdown.png" xr:uid="{28E57332-0A6E-42B9-91EF-DE84FBC6B1BD}"/>
    <hyperlink ref="N115" r:id="rId83" tooltip="Klik untuk membuka bukti screenshot 2026-10-27_Hari-16_TC-H16-004_mobile-devices-table-horizontal-swipe-scroll.png" display="2026-10-27_Hari-16_TC-H16-004_mobile-devices-table-horizontal-swipe-scroll.png" xr:uid="{88EEBA14-BC1D-470E-AABF-A6B7AF0C8156}"/>
    <hyperlink ref="N116" r:id="rId84" tooltip="Klik untuk membuka bukti screenshot 2026-10-27_Hari-16_TC-H16-005_mobile-devices-table-full-inventory-rendering.png" display="2026-10-27_Hari-16_TC-H16-005_mobile-devices-table-full-inventory-rendering.png" xr:uid="{6F7FA9CB-B516-427C-9B63-C5E56C4A6FB4}"/>
    <hyperlink ref="N117" r:id="rId85" tooltip="Klik untuk membuka bukti screenshot 2026-10-27_Hari-16_TC-H16-006_backend-api-error-sanitization-404-zero-leakage.png" display="2026-10-27_Hari-16_TC-H16-006_backend-api-error-sanitization-404-zero-leakage.png" xr:uid="{1B98F40B-1904-4F52-A4A5-DD74EC5BEB74}"/>
    <hyperlink ref="N118" r:id="rId86" tooltip="Klik untuk membuka bukti screenshot 2026-10-27_Hari-16_TC-H16-007_device-keyword-search-cctv-filter-integrity.png" display="2026-10-27_Hari-16_TC-H16-007_device-keyword-search-cctv-filter-integrity.png" xr:uid="{A011486E-4D7D-43F0-8F79-F86D7CB87B28}"/>
  </hyperlinks>
  <pageMargins left="0.7" right="0.7" top="0.75" bottom="0.75" header="0.3" footer="0.3"/>
  <pageSetup orientation="portrait" useFirstPageNumber="1" horizontalDpi="4294967295" verticalDpi="4294967295" r:id="rId8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4"/>
  <sheetViews>
    <sheetView zoomScale="78" zoomScaleNormal="85" workbookViewId="0">
      <selection activeCell="R18" sqref="R18"/>
    </sheetView>
  </sheetViews>
  <sheetFormatPr defaultRowHeight="14.45" customHeight="1" x14ac:dyDescent="0.25"/>
  <cols>
    <col min="1" max="1" width="12.5703125" customWidth="1"/>
    <col min="2" max="2" width="14.5703125" customWidth="1"/>
    <col min="3" max="3" width="58.5703125" customWidth="1"/>
    <col min="4" max="4" width="14.5703125" customWidth="1"/>
    <col min="5" max="5" width="12.5703125" customWidth="1"/>
    <col min="6" max="6" width="16.5703125" customWidth="1"/>
    <col min="7" max="8" width="14.5703125" customWidth="1"/>
    <col min="9" max="9" width="47.42578125" customWidth="1"/>
    <col min="10" max="10" width="21.140625" customWidth="1"/>
    <col min="11" max="11" width="16.42578125" customWidth="1"/>
    <col min="12" max="12" width="12.28515625" customWidth="1"/>
  </cols>
  <sheetData>
    <row r="1" spans="1:14" ht="24" customHeight="1" x14ac:dyDescent="0.25">
      <c r="A1" s="83" t="s">
        <v>754</v>
      </c>
      <c r="B1" s="83" t="s">
        <v>755</v>
      </c>
      <c r="C1" s="83" t="s">
        <v>756</v>
      </c>
      <c r="D1" s="83" t="s">
        <v>757</v>
      </c>
      <c r="E1" s="83" t="s">
        <v>758</v>
      </c>
      <c r="F1" s="83" t="s">
        <v>759</v>
      </c>
      <c r="G1" s="83" t="s">
        <v>760</v>
      </c>
      <c r="H1" s="83" t="s">
        <v>761</v>
      </c>
      <c r="I1" s="83" t="s">
        <v>762</v>
      </c>
      <c r="J1" s="1"/>
      <c r="K1" s="1"/>
      <c r="L1" s="1"/>
    </row>
    <row r="2" spans="1:14" ht="15" x14ac:dyDescent="0.25">
      <c r="A2" s="3" t="s">
        <v>286</v>
      </c>
      <c r="B2" s="10" t="s">
        <v>36</v>
      </c>
      <c r="C2" s="4" t="s">
        <v>763</v>
      </c>
      <c r="D2" s="4" t="s">
        <v>253</v>
      </c>
      <c r="E2" s="3" t="s">
        <v>285</v>
      </c>
      <c r="F2" s="3" t="s">
        <v>764</v>
      </c>
      <c r="G2" s="11" t="s">
        <v>765</v>
      </c>
      <c r="H2" s="5" t="s">
        <v>766</v>
      </c>
      <c r="I2" s="12" t="s">
        <v>287</v>
      </c>
    </row>
    <row r="3" spans="1:14" ht="15" x14ac:dyDescent="0.25">
      <c r="A3" s="3" t="s">
        <v>317</v>
      </c>
      <c r="B3" s="10" t="s">
        <v>36</v>
      </c>
      <c r="C3" s="4" t="s">
        <v>767</v>
      </c>
      <c r="D3" s="4" t="s">
        <v>289</v>
      </c>
      <c r="E3" s="3" t="s">
        <v>272</v>
      </c>
      <c r="F3" s="3" t="s">
        <v>764</v>
      </c>
      <c r="G3" s="11" t="s">
        <v>765</v>
      </c>
      <c r="H3" s="5" t="s">
        <v>319</v>
      </c>
      <c r="I3" s="12" t="s">
        <v>318</v>
      </c>
    </row>
    <row r="4" spans="1:14" ht="15" x14ac:dyDescent="0.25">
      <c r="A4" s="3" t="s">
        <v>273</v>
      </c>
      <c r="B4" s="10" t="s">
        <v>28</v>
      </c>
      <c r="C4" s="4" t="s">
        <v>768</v>
      </c>
      <c r="D4" s="3" t="s">
        <v>253</v>
      </c>
      <c r="E4" s="3" t="s">
        <v>272</v>
      </c>
      <c r="F4" s="3" t="s">
        <v>764</v>
      </c>
      <c r="G4" s="11" t="s">
        <v>765</v>
      </c>
      <c r="H4" s="5" t="s">
        <v>319</v>
      </c>
      <c r="I4" s="12" t="s">
        <v>274</v>
      </c>
    </row>
    <row r="5" spans="1:14" ht="15" x14ac:dyDescent="0.25">
      <c r="A5" s="3" t="s">
        <v>294</v>
      </c>
      <c r="B5" s="10" t="s">
        <v>319</v>
      </c>
      <c r="C5" s="4" t="s">
        <v>769</v>
      </c>
      <c r="D5" s="3" t="s">
        <v>289</v>
      </c>
      <c r="E5" s="3" t="s">
        <v>272</v>
      </c>
      <c r="F5" s="3" t="s">
        <v>764</v>
      </c>
      <c r="G5" s="11" t="s">
        <v>765</v>
      </c>
      <c r="H5" s="5" t="s">
        <v>319</v>
      </c>
      <c r="I5" s="12" t="s">
        <v>295</v>
      </c>
    </row>
    <row r="6" spans="1:14" ht="15" x14ac:dyDescent="0.25">
      <c r="A6" s="3" t="s">
        <v>770</v>
      </c>
      <c r="B6" s="10" t="s">
        <v>771</v>
      </c>
      <c r="C6" s="4" t="s">
        <v>772</v>
      </c>
      <c r="D6" s="3" t="s">
        <v>773</v>
      </c>
      <c r="E6" s="3" t="s">
        <v>272</v>
      </c>
      <c r="F6" s="3" t="s">
        <v>774</v>
      </c>
      <c r="G6" s="11" t="s">
        <v>765</v>
      </c>
      <c r="H6" s="5" t="s">
        <v>775</v>
      </c>
      <c r="I6" s="12" t="s">
        <v>776</v>
      </c>
    </row>
    <row r="7" spans="1:14" ht="29.1" customHeight="1" x14ac:dyDescent="0.25">
      <c r="A7" s="3" t="s">
        <v>777</v>
      </c>
      <c r="B7" s="5" t="s">
        <v>775</v>
      </c>
      <c r="C7" s="4" t="s">
        <v>778</v>
      </c>
      <c r="D7" s="3" t="s">
        <v>773</v>
      </c>
      <c r="E7" s="3" t="s">
        <v>272</v>
      </c>
      <c r="F7" s="3" t="s">
        <v>779</v>
      </c>
      <c r="G7" s="11" t="s">
        <v>765</v>
      </c>
      <c r="H7" s="5" t="s">
        <v>775</v>
      </c>
      <c r="I7" s="12" t="s">
        <v>780</v>
      </c>
    </row>
    <row r="8" spans="1:14" ht="15" x14ac:dyDescent="0.25">
      <c r="A8" s="4" t="s">
        <v>450</v>
      </c>
      <c r="B8" s="13" t="s">
        <v>775</v>
      </c>
      <c r="C8" t="s">
        <v>781</v>
      </c>
      <c r="D8" s="3" t="s">
        <v>773</v>
      </c>
      <c r="E8" s="3" t="s">
        <v>285</v>
      </c>
      <c r="F8" s="3" t="s">
        <v>779</v>
      </c>
      <c r="G8" s="11" t="s">
        <v>765</v>
      </c>
      <c r="H8" s="5" t="s">
        <v>775</v>
      </c>
      <c r="I8" s="12" t="s">
        <v>782</v>
      </c>
    </row>
    <row r="9" spans="1:14" ht="15" x14ac:dyDescent="0.25">
      <c r="A9" s="4" t="s">
        <v>783</v>
      </c>
      <c r="B9" s="13" t="s">
        <v>775</v>
      </c>
      <c r="C9" t="s">
        <v>784</v>
      </c>
      <c r="D9" s="3" t="s">
        <v>773</v>
      </c>
      <c r="E9" s="3" t="s">
        <v>285</v>
      </c>
      <c r="F9" s="3" t="s">
        <v>779</v>
      </c>
      <c r="G9" s="11" t="s">
        <v>765</v>
      </c>
      <c r="H9" s="5" t="s">
        <v>775</v>
      </c>
      <c r="I9" s="12" t="s">
        <v>782</v>
      </c>
    </row>
    <row r="10" spans="1:14" ht="29.1" customHeight="1" x14ac:dyDescent="0.25">
      <c r="A10" s="3" t="s">
        <v>460</v>
      </c>
      <c r="B10" s="5" t="s">
        <v>775</v>
      </c>
      <c r="C10" s="4" t="s">
        <v>785</v>
      </c>
      <c r="D10" s="3" t="s">
        <v>773</v>
      </c>
      <c r="E10" s="3" t="s">
        <v>459</v>
      </c>
      <c r="F10" s="3" t="s">
        <v>779</v>
      </c>
      <c r="G10" s="11" t="s">
        <v>765</v>
      </c>
      <c r="H10" s="5" t="s">
        <v>775</v>
      </c>
      <c r="I10" s="12" t="s">
        <v>786</v>
      </c>
    </row>
    <row r="11" spans="1:14" ht="29.1" customHeight="1" x14ac:dyDescent="0.25">
      <c r="A11" s="3" t="s">
        <v>787</v>
      </c>
      <c r="B11" s="5" t="s">
        <v>775</v>
      </c>
      <c r="C11" s="4" t="s">
        <v>788</v>
      </c>
      <c r="D11" s="3" t="s">
        <v>773</v>
      </c>
      <c r="E11" s="3" t="s">
        <v>459</v>
      </c>
      <c r="F11" s="3" t="s">
        <v>779</v>
      </c>
      <c r="G11" s="11" t="s">
        <v>765</v>
      </c>
      <c r="H11" s="5" t="s">
        <v>775</v>
      </c>
      <c r="I11" s="12" t="s">
        <v>782</v>
      </c>
    </row>
    <row r="12" spans="1:14" ht="15" x14ac:dyDescent="0.25">
      <c r="M12" s="14"/>
      <c r="N12" s="14"/>
    </row>
    <row r="13" spans="1:14" ht="15" x14ac:dyDescent="0.25">
      <c r="A13" s="33" t="s">
        <v>789</v>
      </c>
      <c r="B13" s="33"/>
      <c r="C13" s="33"/>
      <c r="M13" s="14"/>
    </row>
    <row r="14" spans="1:14" ht="15" x14ac:dyDescent="0.25">
      <c r="A14" s="33" t="s">
        <v>790</v>
      </c>
      <c r="B14" s="33"/>
      <c r="C14" s="33"/>
      <c r="M14" s="14"/>
    </row>
    <row r="15" spans="1:14" ht="15" x14ac:dyDescent="0.25">
      <c r="M15" s="14"/>
    </row>
    <row r="16" spans="1:14" ht="15" x14ac:dyDescent="0.25">
      <c r="M16" s="14"/>
    </row>
    <row r="17" spans="3:13" ht="15" x14ac:dyDescent="0.25">
      <c r="M17" s="14"/>
    </row>
    <row r="18" spans="3:13" ht="15" x14ac:dyDescent="0.25">
      <c r="M18" s="14"/>
    </row>
    <row r="19" spans="3:13" ht="15" x14ac:dyDescent="0.25">
      <c r="M19" s="14"/>
    </row>
    <row r="20" spans="3:13" ht="14.45" customHeight="1" x14ac:dyDescent="0.25">
      <c r="C20" t="s">
        <v>1118</v>
      </c>
    </row>
    <row r="79" spans="14:14" ht="15" x14ac:dyDescent="0.25">
      <c r="N79" s="9"/>
    </row>
    <row r="80" spans="14:14" ht="15" x14ac:dyDescent="0.25">
      <c r="N80" s="9"/>
    </row>
    <row r="81" spans="14:14" ht="15" x14ac:dyDescent="0.25">
      <c r="N81" s="9"/>
    </row>
    <row r="82" spans="14:14" ht="15" x14ac:dyDescent="0.25">
      <c r="N82" s="9"/>
    </row>
    <row r="83" spans="14:14" ht="15" x14ac:dyDescent="0.25">
      <c r="N83" s="9"/>
    </row>
    <row r="84" spans="14:14" ht="15" x14ac:dyDescent="0.25">
      <c r="N84" s="9"/>
    </row>
    <row r="85" spans="14:14" ht="15" x14ac:dyDescent="0.25">
      <c r="N85" s="9"/>
    </row>
    <row r="86" spans="14:14" ht="15" x14ac:dyDescent="0.25">
      <c r="N86" s="9"/>
    </row>
    <row r="87" spans="14:14" ht="15" x14ac:dyDescent="0.25">
      <c r="N87" s="9"/>
    </row>
    <row r="88" spans="14:14" ht="15" x14ac:dyDescent="0.25">
      <c r="N88" s="9"/>
    </row>
    <row r="89" spans="14:14" ht="15" x14ac:dyDescent="0.25">
      <c r="N89" s="9"/>
    </row>
    <row r="90" spans="14:14" ht="15" x14ac:dyDescent="0.25">
      <c r="N90" s="9"/>
    </row>
    <row r="91" spans="14:14" ht="15" x14ac:dyDescent="0.25">
      <c r="N91" s="9"/>
    </row>
    <row r="92" spans="14:14" ht="15" x14ac:dyDescent="0.25">
      <c r="N92" s="9"/>
    </row>
    <row r="93" spans="14:14" ht="15" x14ac:dyDescent="0.25">
      <c r="N93" s="9"/>
    </row>
    <row r="94" spans="14:14" ht="15" x14ac:dyDescent="0.25">
      <c r="N94" s="9"/>
    </row>
  </sheetData>
  <mergeCells count="2">
    <mergeCell ref="A13:C13"/>
    <mergeCell ref="A14:C14"/>
  </mergeCells>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4"/>
  <sheetViews>
    <sheetView topLeftCell="G1" zoomScaleNormal="100" workbookViewId="0">
      <pane ySplit="1" topLeftCell="A7" activePane="bottomLeft" state="frozen"/>
      <selection pane="bottomLeft" activeCell="J28" sqref="J28"/>
    </sheetView>
  </sheetViews>
  <sheetFormatPr defaultRowHeight="14.45" customHeight="1" x14ac:dyDescent="0.25"/>
  <cols>
    <col min="1" max="1" width="12.5703125" customWidth="1"/>
    <col min="2" max="2" width="35.5703125" customWidth="1"/>
    <col min="3" max="3" width="16.5703125" customWidth="1"/>
    <col min="4" max="5" width="14.5703125" customWidth="1"/>
    <col min="6" max="6" width="12.5703125" customWidth="1"/>
    <col min="7" max="7" width="10.5703125" customWidth="1"/>
    <col min="8" max="8" width="14.5703125" customWidth="1"/>
    <col min="9" max="9" width="18.140625" customWidth="1"/>
    <col min="10" max="10" width="35.5703125" customWidth="1"/>
    <col min="11" max="12" width="30.5703125" customWidth="1"/>
    <col min="13" max="13" width="36.5703125" customWidth="1"/>
    <col min="14" max="14" width="28.5703125" customWidth="1"/>
    <col min="15" max="15" width="42.5703125" customWidth="1"/>
    <col min="16" max="16" width="14.5703125" customWidth="1"/>
    <col min="17" max="17" width="22.5703125" customWidth="1"/>
    <col min="18" max="18" width="14.5703125" customWidth="1"/>
    <col min="19" max="19" width="16.5703125" customWidth="1"/>
    <col min="20" max="20" width="32.85546875" customWidth="1"/>
    <col min="21" max="21" width="21.42578125" customWidth="1"/>
  </cols>
  <sheetData>
    <row r="1" spans="1:23" ht="38.25" customHeight="1" x14ac:dyDescent="0.25">
      <c r="A1" s="83" t="s">
        <v>791</v>
      </c>
      <c r="B1" s="83" t="s">
        <v>792</v>
      </c>
      <c r="C1" s="83" t="s">
        <v>793</v>
      </c>
      <c r="D1" s="83" t="s">
        <v>794</v>
      </c>
      <c r="E1" s="83" t="s">
        <v>2</v>
      </c>
      <c r="F1" s="83" t="s">
        <v>11</v>
      </c>
      <c r="G1" s="83" t="s">
        <v>795</v>
      </c>
      <c r="H1" s="83" t="s">
        <v>796</v>
      </c>
      <c r="I1" s="83" t="s">
        <v>16</v>
      </c>
      <c r="J1" s="83" t="s">
        <v>797</v>
      </c>
      <c r="K1" s="83" t="s">
        <v>8</v>
      </c>
      <c r="L1" s="83" t="s">
        <v>9</v>
      </c>
      <c r="M1" s="83" t="s">
        <v>798</v>
      </c>
      <c r="N1" s="84" t="s">
        <v>799</v>
      </c>
      <c r="O1" s="83" t="s">
        <v>13</v>
      </c>
      <c r="P1" s="83" t="s">
        <v>10</v>
      </c>
      <c r="Q1" s="83" t="s">
        <v>800</v>
      </c>
      <c r="R1" s="83" t="s">
        <v>801</v>
      </c>
      <c r="S1" s="85" t="s">
        <v>802</v>
      </c>
      <c r="T1" s="83" t="s">
        <v>803</v>
      </c>
    </row>
    <row r="2" spans="1:23" ht="29.1" customHeight="1" x14ac:dyDescent="0.25">
      <c r="A2" s="7" t="s">
        <v>286</v>
      </c>
      <c r="B2" s="4" t="s">
        <v>804</v>
      </c>
      <c r="C2" s="3" t="s">
        <v>29</v>
      </c>
      <c r="D2" s="10" t="s">
        <v>36</v>
      </c>
      <c r="E2" s="3" t="s">
        <v>253</v>
      </c>
      <c r="F2" s="3" t="s">
        <v>285</v>
      </c>
      <c r="G2" s="3" t="s">
        <v>22</v>
      </c>
      <c r="H2" s="3" t="s">
        <v>805</v>
      </c>
      <c r="I2" s="2"/>
      <c r="J2" s="4" t="s">
        <v>806</v>
      </c>
      <c r="K2" s="4" t="s">
        <v>807</v>
      </c>
      <c r="L2" s="4">
        <v>404</v>
      </c>
      <c r="M2" s="15" t="s">
        <v>287</v>
      </c>
      <c r="N2" s="16" t="s">
        <v>808</v>
      </c>
      <c r="O2" s="3" t="s">
        <v>809</v>
      </c>
      <c r="P2" s="3" t="s">
        <v>765</v>
      </c>
      <c r="Q2" s="3" t="s">
        <v>764</v>
      </c>
      <c r="R2" s="3" t="s">
        <v>29</v>
      </c>
      <c r="S2" s="17" t="s">
        <v>766</v>
      </c>
      <c r="T2" s="4" t="s">
        <v>810</v>
      </c>
      <c r="W2" s="18"/>
    </row>
    <row r="3" spans="1:23" ht="43.5" customHeight="1" x14ac:dyDescent="0.25">
      <c r="A3" s="7" t="s">
        <v>317</v>
      </c>
      <c r="B3" s="4" t="s">
        <v>811</v>
      </c>
      <c r="C3" s="3" t="s">
        <v>29</v>
      </c>
      <c r="D3" s="10" t="s">
        <v>36</v>
      </c>
      <c r="E3" s="3" t="s">
        <v>289</v>
      </c>
      <c r="F3" s="3" t="s">
        <v>272</v>
      </c>
      <c r="G3" s="3" t="s">
        <v>22</v>
      </c>
      <c r="H3" s="3" t="s">
        <v>805</v>
      </c>
      <c r="I3" s="2"/>
      <c r="J3" s="4" t="s">
        <v>314</v>
      </c>
      <c r="K3" s="4" t="s">
        <v>807</v>
      </c>
      <c r="L3" s="4">
        <v>500</v>
      </c>
      <c r="M3" s="15" t="s">
        <v>318</v>
      </c>
      <c r="N3" s="16" t="s">
        <v>812</v>
      </c>
      <c r="O3" s="3" t="s">
        <v>813</v>
      </c>
      <c r="P3" s="3" t="s">
        <v>765</v>
      </c>
      <c r="Q3" s="3" t="s">
        <v>764</v>
      </c>
      <c r="R3" s="3" t="s">
        <v>29</v>
      </c>
      <c r="S3" s="17" t="s">
        <v>319</v>
      </c>
      <c r="T3" s="4" t="s">
        <v>814</v>
      </c>
      <c r="W3" s="18"/>
    </row>
    <row r="4" spans="1:23" ht="43.5" customHeight="1" x14ac:dyDescent="0.25">
      <c r="A4" s="7" t="s">
        <v>273</v>
      </c>
      <c r="B4" s="4" t="s">
        <v>815</v>
      </c>
      <c r="C4" s="3" t="s">
        <v>29</v>
      </c>
      <c r="D4" s="5" t="s">
        <v>28</v>
      </c>
      <c r="E4" s="3" t="s">
        <v>253</v>
      </c>
      <c r="F4" s="3" t="s">
        <v>272</v>
      </c>
      <c r="G4" s="3" t="s">
        <v>22</v>
      </c>
      <c r="H4" s="3" t="s">
        <v>805</v>
      </c>
      <c r="I4" s="2"/>
      <c r="J4" s="4" t="s">
        <v>816</v>
      </c>
      <c r="K4" s="4" t="s">
        <v>807</v>
      </c>
      <c r="L4" s="4">
        <v>500</v>
      </c>
      <c r="M4" s="15" t="s">
        <v>274</v>
      </c>
      <c r="N4" s="19" t="s">
        <v>817</v>
      </c>
      <c r="O4" s="3" t="s">
        <v>818</v>
      </c>
      <c r="P4" s="3" t="s">
        <v>765</v>
      </c>
      <c r="Q4" s="3" t="s">
        <v>764</v>
      </c>
      <c r="R4" s="3" t="s">
        <v>29</v>
      </c>
      <c r="S4" s="5" t="s">
        <v>319</v>
      </c>
      <c r="T4" s="4" t="s">
        <v>819</v>
      </c>
    </row>
    <row r="5" spans="1:23" ht="43.5" customHeight="1" x14ac:dyDescent="0.25">
      <c r="A5" s="7" t="s">
        <v>294</v>
      </c>
      <c r="B5" s="4" t="s">
        <v>820</v>
      </c>
      <c r="C5" s="3" t="s">
        <v>29</v>
      </c>
      <c r="D5" s="5" t="s">
        <v>319</v>
      </c>
      <c r="E5" s="3" t="s">
        <v>289</v>
      </c>
      <c r="F5" s="3" t="s">
        <v>272</v>
      </c>
      <c r="G5" s="3" t="s">
        <v>22</v>
      </c>
      <c r="H5" s="3" t="s">
        <v>805</v>
      </c>
      <c r="I5" s="2"/>
      <c r="J5" s="4" t="s">
        <v>821</v>
      </c>
      <c r="K5" s="4" t="s">
        <v>807</v>
      </c>
      <c r="L5" s="4">
        <v>500</v>
      </c>
      <c r="M5" s="15" t="s">
        <v>295</v>
      </c>
      <c r="N5" s="19" t="s">
        <v>822</v>
      </c>
      <c r="O5" s="3" t="s">
        <v>823</v>
      </c>
      <c r="P5" s="3" t="s">
        <v>765</v>
      </c>
      <c r="Q5" s="3" t="s">
        <v>764</v>
      </c>
      <c r="R5" s="3" t="s">
        <v>29</v>
      </c>
      <c r="S5" s="5" t="s">
        <v>319</v>
      </c>
      <c r="T5" s="4" t="s">
        <v>814</v>
      </c>
    </row>
    <row r="6" spans="1:23" ht="29.1" customHeight="1" x14ac:dyDescent="0.25">
      <c r="A6" s="7" t="s">
        <v>770</v>
      </c>
      <c r="B6" s="4" t="s">
        <v>772</v>
      </c>
      <c r="C6" s="3" t="s">
        <v>29</v>
      </c>
      <c r="D6" s="5" t="s">
        <v>771</v>
      </c>
      <c r="E6" s="3" t="s">
        <v>773</v>
      </c>
      <c r="F6" s="3" t="s">
        <v>272</v>
      </c>
      <c r="G6" s="3" t="s">
        <v>22</v>
      </c>
      <c r="H6" s="3" t="s">
        <v>805</v>
      </c>
      <c r="I6" s="2"/>
      <c r="J6" s="4" t="s">
        <v>824</v>
      </c>
      <c r="K6" s="4" t="s">
        <v>825</v>
      </c>
      <c r="L6" s="4" t="s">
        <v>826</v>
      </c>
      <c r="M6" s="20" t="s">
        <v>776</v>
      </c>
      <c r="N6" s="3" t="s">
        <v>827</v>
      </c>
      <c r="O6" s="3" t="s">
        <v>828</v>
      </c>
      <c r="P6" s="3" t="s">
        <v>765</v>
      </c>
      <c r="Q6" s="3" t="s">
        <v>774</v>
      </c>
      <c r="R6" s="3" t="s">
        <v>29</v>
      </c>
      <c r="S6" s="5" t="s">
        <v>775</v>
      </c>
      <c r="T6" s="4" t="s">
        <v>829</v>
      </c>
    </row>
    <row r="7" spans="1:23" ht="29.1" customHeight="1" x14ac:dyDescent="0.25">
      <c r="A7" s="7" t="s">
        <v>777</v>
      </c>
      <c r="B7" s="4" t="s">
        <v>830</v>
      </c>
      <c r="C7" s="3" t="s">
        <v>29</v>
      </c>
      <c r="D7" s="5" t="s">
        <v>775</v>
      </c>
      <c r="E7" s="3" t="s">
        <v>773</v>
      </c>
      <c r="F7" s="3" t="s">
        <v>272</v>
      </c>
      <c r="G7" s="3" t="s">
        <v>22</v>
      </c>
      <c r="H7" s="3" t="s">
        <v>805</v>
      </c>
      <c r="I7" s="2"/>
      <c r="J7" s="4" t="s">
        <v>831</v>
      </c>
      <c r="K7" s="4" t="s">
        <v>832</v>
      </c>
      <c r="L7" s="4" t="s">
        <v>75</v>
      </c>
      <c r="M7" s="15" t="s">
        <v>780</v>
      </c>
      <c r="N7" s="3" t="s">
        <v>833</v>
      </c>
      <c r="O7" s="3" t="s">
        <v>834</v>
      </c>
      <c r="P7" s="3" t="s">
        <v>765</v>
      </c>
      <c r="Q7" s="3" t="s">
        <v>779</v>
      </c>
      <c r="R7" s="3" t="s">
        <v>29</v>
      </c>
      <c r="S7" s="5" t="s">
        <v>775</v>
      </c>
      <c r="T7" s="4" t="s">
        <v>835</v>
      </c>
    </row>
    <row r="8" spans="1:23" ht="29.1" customHeight="1" x14ac:dyDescent="0.25">
      <c r="A8" s="7" t="s">
        <v>450</v>
      </c>
      <c r="B8" s="4" t="s">
        <v>836</v>
      </c>
      <c r="C8" s="3" t="s">
        <v>29</v>
      </c>
      <c r="D8" s="5" t="s">
        <v>775</v>
      </c>
      <c r="E8" s="3" t="s">
        <v>773</v>
      </c>
      <c r="F8" s="3" t="s">
        <v>285</v>
      </c>
      <c r="G8" s="3" t="s">
        <v>64</v>
      </c>
      <c r="H8" s="3" t="s">
        <v>805</v>
      </c>
      <c r="I8" s="2"/>
      <c r="J8" s="4" t="s">
        <v>837</v>
      </c>
      <c r="K8" s="4" t="s">
        <v>838</v>
      </c>
      <c r="L8" s="4" t="s">
        <v>839</v>
      </c>
      <c r="M8" s="15" t="s">
        <v>782</v>
      </c>
      <c r="N8" s="3" t="s">
        <v>840</v>
      </c>
      <c r="O8" s="3" t="s">
        <v>841</v>
      </c>
      <c r="P8" s="3" t="s">
        <v>765</v>
      </c>
      <c r="Q8" s="3" t="s">
        <v>779</v>
      </c>
      <c r="R8" s="3" t="s">
        <v>29</v>
      </c>
      <c r="S8" s="5" t="s">
        <v>775</v>
      </c>
      <c r="T8" s="4" t="s">
        <v>842</v>
      </c>
    </row>
    <row r="9" spans="1:23" ht="29.1" customHeight="1" x14ac:dyDescent="0.25">
      <c r="A9" s="7" t="s">
        <v>783</v>
      </c>
      <c r="B9" s="4" t="s">
        <v>843</v>
      </c>
      <c r="C9" s="3" t="s">
        <v>29</v>
      </c>
      <c r="D9" s="5" t="s">
        <v>775</v>
      </c>
      <c r="E9" s="3" t="s">
        <v>773</v>
      </c>
      <c r="F9" s="3" t="s">
        <v>285</v>
      </c>
      <c r="G9" s="3" t="s">
        <v>64</v>
      </c>
      <c r="H9" s="3" t="s">
        <v>805</v>
      </c>
      <c r="I9" s="2"/>
      <c r="J9" s="4" t="s">
        <v>844</v>
      </c>
      <c r="K9" s="4" t="s">
        <v>845</v>
      </c>
      <c r="L9" s="4" t="s">
        <v>846</v>
      </c>
      <c r="M9" s="15" t="s">
        <v>782</v>
      </c>
      <c r="N9" s="3" t="s">
        <v>847</v>
      </c>
      <c r="O9" s="3" t="s">
        <v>848</v>
      </c>
      <c r="P9" s="3" t="s">
        <v>765</v>
      </c>
      <c r="Q9" s="3" t="s">
        <v>779</v>
      </c>
      <c r="R9" s="3" t="s">
        <v>29</v>
      </c>
      <c r="S9" s="5" t="s">
        <v>775</v>
      </c>
      <c r="T9" s="4" t="s">
        <v>849</v>
      </c>
    </row>
    <row r="10" spans="1:23" ht="29.1" customHeight="1" x14ac:dyDescent="0.25">
      <c r="A10" s="7" t="s">
        <v>460</v>
      </c>
      <c r="B10" s="4" t="s">
        <v>850</v>
      </c>
      <c r="C10" s="3" t="s">
        <v>29</v>
      </c>
      <c r="D10" s="5" t="s">
        <v>775</v>
      </c>
      <c r="E10" s="3" t="s">
        <v>773</v>
      </c>
      <c r="F10" s="3" t="s">
        <v>459</v>
      </c>
      <c r="G10" s="3" t="s">
        <v>592</v>
      </c>
      <c r="H10" s="3" t="s">
        <v>805</v>
      </c>
      <c r="I10" s="2"/>
      <c r="J10" s="4" t="s">
        <v>851</v>
      </c>
      <c r="K10" s="4" t="s">
        <v>852</v>
      </c>
      <c r="L10" s="4" t="s">
        <v>853</v>
      </c>
      <c r="M10" s="15" t="s">
        <v>786</v>
      </c>
      <c r="N10" s="3" t="s">
        <v>854</v>
      </c>
      <c r="O10" s="3" t="s">
        <v>855</v>
      </c>
      <c r="P10" s="3" t="s">
        <v>765</v>
      </c>
      <c r="Q10" s="3" t="s">
        <v>779</v>
      </c>
      <c r="R10" s="3" t="s">
        <v>29</v>
      </c>
      <c r="S10" s="5" t="s">
        <v>775</v>
      </c>
      <c r="T10" s="4" t="s">
        <v>856</v>
      </c>
    </row>
    <row r="11" spans="1:23" ht="29.1" customHeight="1" x14ac:dyDescent="0.25">
      <c r="A11" s="21" t="s">
        <v>787</v>
      </c>
      <c r="B11" s="22" t="s">
        <v>857</v>
      </c>
      <c r="C11" s="23" t="s">
        <v>29</v>
      </c>
      <c r="D11" s="24" t="s">
        <v>775</v>
      </c>
      <c r="E11" s="23" t="s">
        <v>773</v>
      </c>
      <c r="F11" s="23" t="s">
        <v>459</v>
      </c>
      <c r="G11" s="23" t="s">
        <v>592</v>
      </c>
      <c r="H11" s="23" t="s">
        <v>805</v>
      </c>
      <c r="I11" s="25"/>
      <c r="J11" s="22" t="s">
        <v>858</v>
      </c>
      <c r="K11" s="22" t="s">
        <v>859</v>
      </c>
      <c r="L11" s="22" t="s">
        <v>860</v>
      </c>
      <c r="M11" s="15" t="s">
        <v>782</v>
      </c>
      <c r="N11" s="23" t="s">
        <v>861</v>
      </c>
      <c r="O11" s="23" t="s">
        <v>862</v>
      </c>
      <c r="P11" s="23" t="s">
        <v>765</v>
      </c>
      <c r="Q11" s="23" t="s">
        <v>779</v>
      </c>
      <c r="R11" s="23" t="s">
        <v>29</v>
      </c>
      <c r="S11" s="24" t="s">
        <v>775</v>
      </c>
      <c r="T11" s="22" t="s">
        <v>863</v>
      </c>
    </row>
    <row r="12" spans="1:23" ht="29.1" customHeight="1" x14ac:dyDescent="0.25">
      <c r="A12" s="26" t="s">
        <v>864</v>
      </c>
      <c r="B12" s="6" t="s">
        <v>865</v>
      </c>
      <c r="C12" s="6" t="s">
        <v>29</v>
      </c>
      <c r="D12" s="13" t="s">
        <v>80</v>
      </c>
      <c r="E12" s="4" t="s">
        <v>736</v>
      </c>
      <c r="F12" s="4" t="s">
        <v>272</v>
      </c>
      <c r="G12" s="4" t="s">
        <v>22</v>
      </c>
      <c r="H12" s="4" t="s">
        <v>866</v>
      </c>
      <c r="I12" s="6" t="s">
        <v>867</v>
      </c>
      <c r="J12" s="6" t="s">
        <v>868</v>
      </c>
      <c r="K12" s="6" t="s">
        <v>869</v>
      </c>
      <c r="L12" s="6" t="s">
        <v>870</v>
      </c>
      <c r="M12" s="8" t="s">
        <v>570</v>
      </c>
      <c r="N12" s="27" t="s">
        <v>871</v>
      </c>
      <c r="O12" s="28" t="s">
        <v>872</v>
      </c>
      <c r="P12" s="3" t="s">
        <v>765</v>
      </c>
      <c r="Q12" s="3" t="s">
        <v>779</v>
      </c>
      <c r="R12" s="3" t="s">
        <v>29</v>
      </c>
      <c r="S12" s="5" t="s">
        <v>80</v>
      </c>
      <c r="T12" s="4" t="s">
        <v>873</v>
      </c>
    </row>
    <row r="13" spans="1:23" ht="43.5" customHeight="1" x14ac:dyDescent="0.25">
      <c r="A13" s="26" t="s">
        <v>874</v>
      </c>
      <c r="B13" s="6" t="s">
        <v>875</v>
      </c>
      <c r="C13" s="6" t="s">
        <v>29</v>
      </c>
      <c r="D13" s="13" t="s">
        <v>80</v>
      </c>
      <c r="E13" s="4" t="s">
        <v>620</v>
      </c>
      <c r="F13" s="4" t="s">
        <v>272</v>
      </c>
      <c r="G13" s="4" t="s">
        <v>22</v>
      </c>
      <c r="H13" s="4" t="s">
        <v>866</v>
      </c>
      <c r="I13" s="6" t="s">
        <v>867</v>
      </c>
      <c r="J13" s="6" t="s">
        <v>876</v>
      </c>
      <c r="K13" s="6" t="s">
        <v>877</v>
      </c>
      <c r="L13" s="6" t="s">
        <v>878</v>
      </c>
      <c r="M13" s="8" t="s">
        <v>562</v>
      </c>
      <c r="N13" s="27" t="s">
        <v>879</v>
      </c>
      <c r="O13" s="28" t="s">
        <v>880</v>
      </c>
      <c r="P13" s="3" t="s">
        <v>765</v>
      </c>
      <c r="Q13" s="3" t="s">
        <v>779</v>
      </c>
      <c r="R13" s="3" t="s">
        <v>29</v>
      </c>
      <c r="S13" s="5" t="s">
        <v>80</v>
      </c>
      <c r="T13" s="4" t="s">
        <v>881</v>
      </c>
    </row>
    <row r="14" spans="1:23" ht="43.5" customHeight="1" x14ac:dyDescent="0.25">
      <c r="A14" s="26" t="s">
        <v>882</v>
      </c>
      <c r="B14" s="6" t="s">
        <v>883</v>
      </c>
      <c r="C14" s="6" t="s">
        <v>29</v>
      </c>
      <c r="D14" s="13" t="s">
        <v>80</v>
      </c>
      <c r="E14" s="4" t="s">
        <v>608</v>
      </c>
      <c r="F14" s="4" t="s">
        <v>285</v>
      </c>
      <c r="G14" s="4" t="s">
        <v>64</v>
      </c>
      <c r="H14" s="4" t="s">
        <v>866</v>
      </c>
      <c r="I14" s="6" t="s">
        <v>867</v>
      </c>
      <c r="J14" s="6" t="s">
        <v>884</v>
      </c>
      <c r="K14" s="6" t="s">
        <v>885</v>
      </c>
      <c r="L14" s="6" t="s">
        <v>886</v>
      </c>
      <c r="M14" s="8" t="s">
        <v>587</v>
      </c>
      <c r="N14" s="27" t="s">
        <v>887</v>
      </c>
      <c r="O14" s="28" t="s">
        <v>888</v>
      </c>
      <c r="P14" s="3" t="s">
        <v>765</v>
      </c>
      <c r="Q14" s="3" t="s">
        <v>779</v>
      </c>
      <c r="R14" s="3" t="s">
        <v>29</v>
      </c>
      <c r="S14" s="5" t="s">
        <v>80</v>
      </c>
      <c r="T14" s="4" t="s">
        <v>889</v>
      </c>
    </row>
    <row r="15" spans="1:23" ht="43.5" customHeight="1" x14ac:dyDescent="0.25">
      <c r="A15" s="26" t="s">
        <v>890</v>
      </c>
      <c r="B15" s="6" t="s">
        <v>891</v>
      </c>
      <c r="C15" s="6" t="s">
        <v>29</v>
      </c>
      <c r="D15" s="13" t="s">
        <v>80</v>
      </c>
      <c r="E15" s="4" t="s">
        <v>608</v>
      </c>
      <c r="F15" s="4" t="s">
        <v>459</v>
      </c>
      <c r="G15" s="4" t="s">
        <v>592</v>
      </c>
      <c r="H15" s="4" t="s">
        <v>866</v>
      </c>
      <c r="I15" s="6" t="s">
        <v>867</v>
      </c>
      <c r="J15" s="6" t="s">
        <v>892</v>
      </c>
      <c r="K15" s="6" t="s">
        <v>893</v>
      </c>
      <c r="L15" s="6" t="s">
        <v>894</v>
      </c>
      <c r="M15" s="8" t="s">
        <v>587</v>
      </c>
      <c r="N15" s="27" t="s">
        <v>895</v>
      </c>
      <c r="O15" s="28" t="s">
        <v>888</v>
      </c>
      <c r="P15" s="3" t="s">
        <v>765</v>
      </c>
      <c r="Q15" s="3" t="s">
        <v>779</v>
      </c>
      <c r="R15" s="3" t="s">
        <v>29</v>
      </c>
      <c r="S15" s="5" t="s">
        <v>80</v>
      </c>
      <c r="T15" s="4" t="s">
        <v>896</v>
      </c>
    </row>
    <row r="16" spans="1:23" ht="43.5" customHeight="1" x14ac:dyDescent="0.25">
      <c r="A16" s="26" t="s">
        <v>897</v>
      </c>
      <c r="B16" s="6" t="s">
        <v>898</v>
      </c>
      <c r="C16" s="6" t="s">
        <v>29</v>
      </c>
      <c r="D16" s="13" t="s">
        <v>80</v>
      </c>
      <c r="E16" s="4" t="s">
        <v>899</v>
      </c>
      <c r="F16" s="4" t="s">
        <v>285</v>
      </c>
      <c r="G16" s="4" t="s">
        <v>64</v>
      </c>
      <c r="H16" s="4" t="s">
        <v>866</v>
      </c>
      <c r="I16" s="6" t="s">
        <v>867</v>
      </c>
      <c r="J16" s="6" t="s">
        <v>900</v>
      </c>
      <c r="K16" s="6" t="s">
        <v>901</v>
      </c>
      <c r="L16" s="6" t="s">
        <v>902</v>
      </c>
      <c r="M16" s="8" t="s">
        <v>587</v>
      </c>
      <c r="N16" s="27" t="s">
        <v>903</v>
      </c>
      <c r="O16" s="28" t="s">
        <v>888</v>
      </c>
      <c r="P16" s="3" t="s">
        <v>765</v>
      </c>
      <c r="Q16" s="3" t="s">
        <v>779</v>
      </c>
      <c r="R16" s="3" t="s">
        <v>29</v>
      </c>
      <c r="S16" s="5" t="s">
        <v>80</v>
      </c>
      <c r="T16" s="4" t="s">
        <v>904</v>
      </c>
    </row>
    <row r="17" spans="1:20" ht="29.1" customHeight="1" x14ac:dyDescent="0.25">
      <c r="A17" s="26" t="s">
        <v>905</v>
      </c>
      <c r="B17" s="6" t="s">
        <v>906</v>
      </c>
      <c r="C17" s="6" t="s">
        <v>29</v>
      </c>
      <c r="D17" s="13" t="s">
        <v>80</v>
      </c>
      <c r="E17" s="4" t="s">
        <v>608</v>
      </c>
      <c r="F17" s="4" t="s">
        <v>285</v>
      </c>
      <c r="G17" s="4" t="s">
        <v>64</v>
      </c>
      <c r="H17" s="4" t="s">
        <v>866</v>
      </c>
      <c r="I17" s="6" t="s">
        <v>867</v>
      </c>
      <c r="J17" s="6" t="s">
        <v>907</v>
      </c>
      <c r="K17" s="6" t="s">
        <v>908</v>
      </c>
      <c r="L17" s="6" t="s">
        <v>909</v>
      </c>
      <c r="M17" s="8" t="s">
        <v>587</v>
      </c>
      <c r="N17" s="27" t="s">
        <v>910</v>
      </c>
      <c r="O17" s="28" t="s">
        <v>888</v>
      </c>
      <c r="P17" s="3" t="s">
        <v>765</v>
      </c>
      <c r="Q17" s="3" t="s">
        <v>779</v>
      </c>
      <c r="R17" s="3" t="s">
        <v>29</v>
      </c>
      <c r="S17" s="5" t="s">
        <v>80</v>
      </c>
      <c r="T17" s="4" t="s">
        <v>911</v>
      </c>
    </row>
    <row r="18" spans="1:20" ht="43.5" customHeight="1" x14ac:dyDescent="0.25">
      <c r="A18" s="26" t="s">
        <v>912</v>
      </c>
      <c r="B18" s="6" t="s">
        <v>913</v>
      </c>
      <c r="C18" s="6" t="s">
        <v>29</v>
      </c>
      <c r="D18" s="13" t="s">
        <v>80</v>
      </c>
      <c r="E18" s="4" t="s">
        <v>736</v>
      </c>
      <c r="F18" s="4" t="s">
        <v>459</v>
      </c>
      <c r="G18" s="4" t="s">
        <v>592</v>
      </c>
      <c r="H18" s="4" t="s">
        <v>866</v>
      </c>
      <c r="I18" s="6" t="s">
        <v>867</v>
      </c>
      <c r="J18" s="6" t="s">
        <v>914</v>
      </c>
      <c r="K18" s="6" t="s">
        <v>915</v>
      </c>
      <c r="L18" s="6" t="s">
        <v>916</v>
      </c>
      <c r="M18" s="8" t="s">
        <v>570</v>
      </c>
      <c r="N18" s="27" t="s">
        <v>917</v>
      </c>
      <c r="O18" s="28" t="s">
        <v>872</v>
      </c>
      <c r="P18" s="3" t="s">
        <v>765</v>
      </c>
      <c r="Q18" s="3" t="s">
        <v>779</v>
      </c>
      <c r="R18" s="3" t="s">
        <v>29</v>
      </c>
      <c r="S18" s="5" t="s">
        <v>80</v>
      </c>
      <c r="T18" s="4" t="s">
        <v>918</v>
      </c>
    </row>
    <row r="19" spans="1:20" ht="29.1" customHeight="1" x14ac:dyDescent="0.25">
      <c r="A19" s="26" t="s">
        <v>919</v>
      </c>
      <c r="B19" s="6" t="s">
        <v>920</v>
      </c>
      <c r="C19" s="6" t="s">
        <v>29</v>
      </c>
      <c r="D19" s="13" t="s">
        <v>80</v>
      </c>
      <c r="E19" s="4" t="s">
        <v>289</v>
      </c>
      <c r="F19" s="4" t="s">
        <v>459</v>
      </c>
      <c r="G19" s="4" t="s">
        <v>592</v>
      </c>
      <c r="H19" s="4" t="s">
        <v>866</v>
      </c>
      <c r="I19" s="6" t="s">
        <v>867</v>
      </c>
      <c r="J19" s="6" t="s">
        <v>921</v>
      </c>
      <c r="K19" s="6" t="s">
        <v>922</v>
      </c>
      <c r="L19" s="6" t="s">
        <v>923</v>
      </c>
      <c r="M19" s="8" t="s">
        <v>605</v>
      </c>
      <c r="N19" s="27" t="s">
        <v>924</v>
      </c>
      <c r="O19" s="28" t="s">
        <v>925</v>
      </c>
      <c r="P19" s="3" t="s">
        <v>765</v>
      </c>
      <c r="Q19" s="3" t="s">
        <v>779</v>
      </c>
      <c r="R19" s="3" t="s">
        <v>29</v>
      </c>
      <c r="S19" s="5" t="s">
        <v>80</v>
      </c>
      <c r="T19" s="4" t="s">
        <v>926</v>
      </c>
    </row>
    <row r="79" spans="14:14" ht="15" x14ac:dyDescent="0.25">
      <c r="N79" s="9"/>
    </row>
    <row r="80" spans="14:14" ht="15" x14ac:dyDescent="0.25">
      <c r="N80" s="9"/>
    </row>
    <row r="81" spans="14:14" ht="15" x14ac:dyDescent="0.25">
      <c r="N81" s="9"/>
    </row>
    <row r="82" spans="14:14" ht="15" x14ac:dyDescent="0.25">
      <c r="N82" s="9"/>
    </row>
    <row r="83" spans="14:14" ht="15" x14ac:dyDescent="0.25">
      <c r="N83" s="9"/>
    </row>
    <row r="84" spans="14:14" ht="15" x14ac:dyDescent="0.25">
      <c r="N84" s="9"/>
    </row>
    <row r="85" spans="14:14" ht="15" x14ac:dyDescent="0.25">
      <c r="N85" s="9"/>
    </row>
    <row r="86" spans="14:14" ht="15" x14ac:dyDescent="0.25">
      <c r="N86" s="9"/>
    </row>
    <row r="87" spans="14:14" ht="15" x14ac:dyDescent="0.25">
      <c r="N87" s="9"/>
    </row>
    <row r="88" spans="14:14" ht="15" x14ac:dyDescent="0.25">
      <c r="N88" s="9"/>
    </row>
    <row r="89" spans="14:14" ht="15" x14ac:dyDescent="0.25">
      <c r="N89" s="9"/>
    </row>
    <row r="90" spans="14:14" ht="15" x14ac:dyDescent="0.25">
      <c r="N90" s="9"/>
    </row>
    <row r="91" spans="14:14" ht="15" x14ac:dyDescent="0.25">
      <c r="N91" s="9"/>
    </row>
    <row r="92" spans="14:14" ht="15" x14ac:dyDescent="0.25">
      <c r="N92" s="9"/>
    </row>
    <row r="93" spans="14:14" ht="15" x14ac:dyDescent="0.25">
      <c r="N93" s="9"/>
    </row>
    <row r="94" spans="14:14" ht="15" x14ac:dyDescent="0.25">
      <c r="N94" s="9"/>
    </row>
  </sheetData>
  <hyperlinks>
    <hyperlink ref="M2" r:id="rId1" xr:uid="{00000000-0004-0000-0200-000000000000}"/>
    <hyperlink ref="M3" r:id="rId2" xr:uid="{00000000-0004-0000-0200-000001000000}"/>
    <hyperlink ref="M4" r:id="rId3" xr:uid="{00000000-0004-0000-0200-000002000000}"/>
    <hyperlink ref="M5" r:id="rId4" xr:uid="{00000000-0004-0000-0200-000003000000}"/>
    <hyperlink ref="M6" r:id="rId5" xr:uid="{00000000-0004-0000-0200-000004000000}"/>
    <hyperlink ref="M7" r:id="rId6" xr:uid="{00000000-0004-0000-0200-000005000000}"/>
    <hyperlink ref="M8" r:id="rId7" xr:uid="{00000000-0004-0000-0200-000006000000}"/>
    <hyperlink ref="M9" r:id="rId8" xr:uid="{00000000-0004-0000-0200-000007000000}"/>
    <hyperlink ref="M10" r:id="rId9" xr:uid="{00000000-0004-0000-0200-000008000000}"/>
    <hyperlink ref="M11" r:id="rId10" xr:uid="{00000000-0004-0000-0200-000009000000}"/>
    <hyperlink ref="M12" r:id="rId11" xr:uid="{00000000-0004-0000-0200-00000A000000}"/>
    <hyperlink ref="M13" r:id="rId12" xr:uid="{00000000-0004-0000-0200-00000B000000}"/>
    <hyperlink ref="M14" r:id="rId13" xr:uid="{00000000-0004-0000-0200-00000C000000}"/>
    <hyperlink ref="M15" r:id="rId14" xr:uid="{00000000-0004-0000-0200-00000D000000}"/>
    <hyperlink ref="M16" r:id="rId15" xr:uid="{00000000-0004-0000-0200-00000E000000}"/>
    <hyperlink ref="M17" r:id="rId16" xr:uid="{00000000-0004-0000-0200-00000F000000}"/>
    <hyperlink ref="M18" r:id="rId17" xr:uid="{00000000-0004-0000-0200-000010000000}"/>
    <hyperlink ref="M19" r:id="rId18" xr:uid="{00000000-0004-0000-0200-000011000000}"/>
  </hyperlink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4"/>
  <sheetViews>
    <sheetView zoomScaleNormal="100" workbookViewId="0">
      <pane ySplit="1" topLeftCell="A11" activePane="bottomLeft" state="frozenSplit"/>
      <selection pane="bottomLeft" activeCell="E40" sqref="E40"/>
    </sheetView>
  </sheetViews>
  <sheetFormatPr defaultRowHeight="14.45" customHeight="1" x14ac:dyDescent="0.25"/>
  <cols>
    <col min="1" max="1" width="14.7109375" customWidth="1"/>
    <col min="2" max="2" width="10.7109375" customWidth="1"/>
    <col min="3" max="4" width="11.7109375" customWidth="1"/>
    <col min="5" max="8" width="10.7109375" customWidth="1"/>
    <col min="9" max="9" width="11.7109375" customWidth="1"/>
    <col min="10" max="10" width="13.7109375" customWidth="1"/>
    <col min="11" max="11" width="53.85546875" customWidth="1"/>
    <col min="12" max="12" width="38.7109375" customWidth="1"/>
  </cols>
  <sheetData>
    <row r="1" spans="1:14" ht="30" customHeight="1" x14ac:dyDescent="0.25">
      <c r="A1" s="29" t="s">
        <v>794</v>
      </c>
      <c r="B1" s="29" t="s">
        <v>927</v>
      </c>
      <c r="C1" s="29" t="s">
        <v>928</v>
      </c>
      <c r="D1" s="29" t="s">
        <v>929</v>
      </c>
      <c r="E1" s="29" t="s">
        <v>27</v>
      </c>
      <c r="F1" s="29" t="s">
        <v>284</v>
      </c>
      <c r="G1" s="29" t="s">
        <v>930</v>
      </c>
      <c r="H1" s="29" t="s">
        <v>931</v>
      </c>
      <c r="I1" s="29" t="s">
        <v>932</v>
      </c>
      <c r="J1" s="29" t="s">
        <v>933</v>
      </c>
      <c r="K1" s="29" t="s">
        <v>17</v>
      </c>
      <c r="L1" s="29" t="s">
        <v>934</v>
      </c>
    </row>
    <row r="2" spans="1:14" ht="24" customHeight="1" x14ac:dyDescent="0.25">
      <c r="A2" s="59">
        <v>46366</v>
      </c>
      <c r="B2" s="60">
        <v>1</v>
      </c>
      <c r="C2" s="60" t="s">
        <v>935</v>
      </c>
      <c r="D2" s="60">
        <v>0</v>
      </c>
      <c r="E2" s="60">
        <v>0</v>
      </c>
      <c r="F2" s="60">
        <v>0</v>
      </c>
      <c r="G2" s="60">
        <v>0</v>
      </c>
      <c r="H2" s="60">
        <v>0</v>
      </c>
      <c r="I2" s="60">
        <v>0</v>
      </c>
      <c r="J2" s="60">
        <v>0</v>
      </c>
      <c r="K2" s="68" t="s">
        <v>936</v>
      </c>
      <c r="L2" s="61" t="s">
        <v>1117</v>
      </c>
    </row>
    <row r="3" spans="1:14" ht="24" customHeight="1" x14ac:dyDescent="0.25">
      <c r="A3" s="62" t="s">
        <v>36</v>
      </c>
      <c r="B3" s="63">
        <v>2</v>
      </c>
      <c r="C3" s="63" t="s">
        <v>935</v>
      </c>
      <c r="D3" s="63">
        <v>0</v>
      </c>
      <c r="E3" s="63">
        <v>0</v>
      </c>
      <c r="F3" s="63">
        <v>0</v>
      </c>
      <c r="G3" s="63">
        <v>0</v>
      </c>
      <c r="H3" s="63">
        <v>0</v>
      </c>
      <c r="I3" s="63">
        <v>0</v>
      </c>
      <c r="J3" s="63">
        <v>0</v>
      </c>
      <c r="K3" s="69" t="s">
        <v>937</v>
      </c>
      <c r="L3" s="64" t="s">
        <v>1116</v>
      </c>
    </row>
    <row r="4" spans="1:14" ht="24" customHeight="1" x14ac:dyDescent="0.25">
      <c r="A4" s="60" t="s">
        <v>766</v>
      </c>
      <c r="B4" s="60">
        <v>3</v>
      </c>
      <c r="C4" s="60" t="s">
        <v>935</v>
      </c>
      <c r="D4" s="60">
        <v>0</v>
      </c>
      <c r="E4" s="60">
        <v>0</v>
      </c>
      <c r="F4" s="60">
        <v>0</v>
      </c>
      <c r="G4" s="60">
        <v>0</v>
      </c>
      <c r="H4" s="60">
        <v>0</v>
      </c>
      <c r="I4" s="60">
        <v>0</v>
      </c>
      <c r="J4" s="60">
        <v>0</v>
      </c>
      <c r="K4" s="68" t="s">
        <v>938</v>
      </c>
      <c r="L4" s="61" t="s">
        <v>1115</v>
      </c>
    </row>
    <row r="5" spans="1:14" ht="24" customHeight="1" x14ac:dyDescent="0.25">
      <c r="A5" s="63" t="s">
        <v>28</v>
      </c>
      <c r="B5" s="63">
        <v>4</v>
      </c>
      <c r="C5" s="63" t="s">
        <v>935</v>
      </c>
      <c r="D5" s="63">
        <v>0</v>
      </c>
      <c r="E5" s="63">
        <v>0</v>
      </c>
      <c r="F5" s="63">
        <v>0</v>
      </c>
      <c r="G5" s="63">
        <v>0</v>
      </c>
      <c r="H5" s="63">
        <v>0</v>
      </c>
      <c r="I5" s="63">
        <v>0</v>
      </c>
      <c r="J5" s="63">
        <v>0</v>
      </c>
      <c r="K5" s="69" t="s">
        <v>939</v>
      </c>
      <c r="L5" s="64" t="s">
        <v>1114</v>
      </c>
    </row>
    <row r="6" spans="1:14" ht="24" customHeight="1" x14ac:dyDescent="0.25">
      <c r="A6" s="60" t="s">
        <v>319</v>
      </c>
      <c r="B6" s="60">
        <v>5</v>
      </c>
      <c r="C6" s="60" t="s">
        <v>935</v>
      </c>
      <c r="D6" s="60">
        <v>0</v>
      </c>
      <c r="E6" s="60">
        <v>0</v>
      </c>
      <c r="F6" s="60">
        <v>0</v>
      </c>
      <c r="G6" s="60">
        <v>0</v>
      </c>
      <c r="H6" s="60">
        <v>0</v>
      </c>
      <c r="I6" s="60">
        <v>0</v>
      </c>
      <c r="J6" s="60">
        <v>0</v>
      </c>
      <c r="K6" s="68" t="s">
        <v>940</v>
      </c>
      <c r="L6" s="61" t="s">
        <v>1113</v>
      </c>
    </row>
    <row r="7" spans="1:14" ht="24" customHeight="1" x14ac:dyDescent="0.25">
      <c r="A7" s="63" t="s">
        <v>30</v>
      </c>
      <c r="B7" s="63">
        <v>6</v>
      </c>
      <c r="C7" s="71" t="s">
        <v>935</v>
      </c>
      <c r="D7" s="63">
        <v>5</v>
      </c>
      <c r="E7" s="74">
        <v>5</v>
      </c>
      <c r="F7" s="63">
        <v>0</v>
      </c>
      <c r="G7" s="63">
        <v>0</v>
      </c>
      <c r="H7" s="63">
        <v>0</v>
      </c>
      <c r="I7" s="63">
        <v>0</v>
      </c>
      <c r="J7" s="63">
        <v>0</v>
      </c>
      <c r="K7" s="69" t="s">
        <v>941</v>
      </c>
      <c r="L7" s="64" t="s">
        <v>1112</v>
      </c>
    </row>
    <row r="8" spans="1:14" ht="24" customHeight="1" x14ac:dyDescent="0.25">
      <c r="A8" s="60" t="s">
        <v>775</v>
      </c>
      <c r="B8" s="60">
        <v>7</v>
      </c>
      <c r="C8" s="72" t="s">
        <v>935</v>
      </c>
      <c r="D8" s="60">
        <v>12</v>
      </c>
      <c r="E8" s="75">
        <v>12</v>
      </c>
      <c r="F8" s="60">
        <v>0</v>
      </c>
      <c r="G8" s="60">
        <v>0</v>
      </c>
      <c r="H8" s="60">
        <v>0</v>
      </c>
      <c r="I8" s="60">
        <v>5</v>
      </c>
      <c r="J8" s="60">
        <v>5</v>
      </c>
      <c r="K8" s="68" t="s">
        <v>942</v>
      </c>
      <c r="L8" s="61" t="s">
        <v>1111</v>
      </c>
    </row>
    <row r="9" spans="1:14" ht="24" customHeight="1" x14ac:dyDescent="0.25">
      <c r="A9" s="63" t="s">
        <v>418</v>
      </c>
      <c r="B9" s="63">
        <v>8</v>
      </c>
      <c r="C9" s="71" t="s">
        <v>935</v>
      </c>
      <c r="D9" s="63">
        <v>7</v>
      </c>
      <c r="E9" s="74">
        <v>7</v>
      </c>
      <c r="F9" s="63">
        <v>0</v>
      </c>
      <c r="G9" s="63">
        <v>0</v>
      </c>
      <c r="H9" s="63">
        <v>0</v>
      </c>
      <c r="I9" s="63">
        <v>0</v>
      </c>
      <c r="J9" s="63">
        <v>5</v>
      </c>
      <c r="K9" s="69" t="s">
        <v>944</v>
      </c>
      <c r="L9" s="64" t="s">
        <v>943</v>
      </c>
    </row>
    <row r="10" spans="1:14" ht="24" customHeight="1" x14ac:dyDescent="0.25">
      <c r="A10" s="60" t="s">
        <v>418</v>
      </c>
      <c r="B10" s="60">
        <v>9</v>
      </c>
      <c r="C10" s="72" t="s">
        <v>935</v>
      </c>
      <c r="D10" s="60">
        <v>15</v>
      </c>
      <c r="E10" s="75">
        <v>15</v>
      </c>
      <c r="F10" s="60">
        <v>0</v>
      </c>
      <c r="G10" s="60">
        <v>0</v>
      </c>
      <c r="H10" s="60">
        <v>0</v>
      </c>
      <c r="I10" s="60">
        <v>0</v>
      </c>
      <c r="J10" s="60">
        <v>5</v>
      </c>
      <c r="K10" s="68" t="s">
        <v>945</v>
      </c>
      <c r="L10" s="61" t="s">
        <v>1110</v>
      </c>
    </row>
    <row r="11" spans="1:14" ht="24" customHeight="1" x14ac:dyDescent="0.25">
      <c r="A11" s="63" t="s">
        <v>80</v>
      </c>
      <c r="B11" s="63">
        <v>10</v>
      </c>
      <c r="C11" s="71" t="s">
        <v>935</v>
      </c>
      <c r="D11" s="63">
        <v>9</v>
      </c>
      <c r="E11" s="74">
        <v>9</v>
      </c>
      <c r="F11" s="63">
        <v>0</v>
      </c>
      <c r="G11" s="63">
        <v>0</v>
      </c>
      <c r="H11" s="63">
        <v>0</v>
      </c>
      <c r="I11" s="63">
        <v>1</v>
      </c>
      <c r="J11" s="63">
        <v>0</v>
      </c>
      <c r="K11" s="69" t="s">
        <v>946</v>
      </c>
      <c r="L11" s="64" t="s">
        <v>1109</v>
      </c>
    </row>
    <row r="12" spans="1:14" ht="24" customHeight="1" x14ac:dyDescent="0.25">
      <c r="A12" s="60" t="s">
        <v>338</v>
      </c>
      <c r="B12" s="60">
        <v>11</v>
      </c>
      <c r="C12" s="72" t="s">
        <v>935</v>
      </c>
      <c r="D12" s="60">
        <v>6</v>
      </c>
      <c r="E12" s="75">
        <v>6</v>
      </c>
      <c r="F12" s="60">
        <v>0</v>
      </c>
      <c r="G12" s="60">
        <v>0</v>
      </c>
      <c r="H12" s="60">
        <v>0</v>
      </c>
      <c r="I12" s="60">
        <v>1</v>
      </c>
      <c r="J12" s="60">
        <v>0</v>
      </c>
      <c r="K12" s="68" t="s">
        <v>947</v>
      </c>
      <c r="L12" s="61" t="s">
        <v>1108</v>
      </c>
      <c r="M12" s="14"/>
      <c r="N12" s="14"/>
    </row>
    <row r="13" spans="1:14" ht="24" customHeight="1" x14ac:dyDescent="0.25">
      <c r="A13" s="63" t="s">
        <v>187</v>
      </c>
      <c r="B13" s="63">
        <v>12</v>
      </c>
      <c r="C13" s="71" t="s">
        <v>935</v>
      </c>
      <c r="D13" s="63">
        <v>6</v>
      </c>
      <c r="E13" s="74">
        <v>6</v>
      </c>
      <c r="F13" s="63">
        <v>0</v>
      </c>
      <c r="G13" s="63">
        <v>0</v>
      </c>
      <c r="H13" s="63">
        <v>0</v>
      </c>
      <c r="I13" s="63">
        <v>0</v>
      </c>
      <c r="J13" s="63">
        <v>0</v>
      </c>
      <c r="K13" s="69" t="s">
        <v>948</v>
      </c>
      <c r="L13" s="64" t="s">
        <v>1107</v>
      </c>
      <c r="M13" s="14"/>
    </row>
    <row r="14" spans="1:14" ht="24" customHeight="1" x14ac:dyDescent="0.25">
      <c r="A14" s="60" t="s">
        <v>90</v>
      </c>
      <c r="B14" s="60">
        <v>13</v>
      </c>
      <c r="C14" s="72" t="s">
        <v>935</v>
      </c>
      <c r="D14" s="60">
        <v>18</v>
      </c>
      <c r="E14" s="75">
        <v>18</v>
      </c>
      <c r="F14" s="60">
        <v>0</v>
      </c>
      <c r="G14" s="60">
        <v>0</v>
      </c>
      <c r="H14" s="60">
        <v>0</v>
      </c>
      <c r="I14" s="60">
        <v>0</v>
      </c>
      <c r="J14" s="60">
        <v>0</v>
      </c>
      <c r="K14" s="68" t="s">
        <v>949</v>
      </c>
      <c r="L14" s="61" t="s">
        <v>1106</v>
      </c>
      <c r="M14" s="14"/>
    </row>
    <row r="15" spans="1:14" ht="24" customHeight="1" x14ac:dyDescent="0.25">
      <c r="A15" s="63" t="s">
        <v>616</v>
      </c>
      <c r="B15" s="63">
        <v>14</v>
      </c>
      <c r="C15" s="71" t="s">
        <v>935</v>
      </c>
      <c r="D15" s="63">
        <v>16</v>
      </c>
      <c r="E15" s="74">
        <v>16</v>
      </c>
      <c r="F15" s="63">
        <v>0</v>
      </c>
      <c r="G15" s="63">
        <v>0</v>
      </c>
      <c r="H15" s="63">
        <v>0</v>
      </c>
      <c r="I15" s="63">
        <v>0</v>
      </c>
      <c r="J15" s="63">
        <v>0</v>
      </c>
      <c r="K15" s="69" t="s">
        <v>950</v>
      </c>
      <c r="L15" s="64" t="s">
        <v>951</v>
      </c>
      <c r="M15" s="14"/>
    </row>
    <row r="16" spans="1:14" ht="24" customHeight="1" x14ac:dyDescent="0.25">
      <c r="A16" s="60" t="s">
        <v>405</v>
      </c>
      <c r="B16" s="60">
        <v>15</v>
      </c>
      <c r="C16" s="72" t="s">
        <v>935</v>
      </c>
      <c r="D16" s="60">
        <v>6</v>
      </c>
      <c r="E16" s="75">
        <v>6</v>
      </c>
      <c r="F16" s="60">
        <v>0</v>
      </c>
      <c r="G16" s="60">
        <v>0</v>
      </c>
      <c r="H16" s="60">
        <v>0</v>
      </c>
      <c r="I16" s="60">
        <v>0</v>
      </c>
      <c r="J16" s="60">
        <v>0</v>
      </c>
      <c r="K16" s="68" t="s">
        <v>952</v>
      </c>
      <c r="L16" s="61" t="s">
        <v>953</v>
      </c>
      <c r="M16" s="14"/>
    </row>
    <row r="17" spans="1:13" ht="24" customHeight="1" x14ac:dyDescent="0.25">
      <c r="A17" s="63" t="s">
        <v>954</v>
      </c>
      <c r="B17" s="63">
        <v>16</v>
      </c>
      <c r="C17" s="71" t="s">
        <v>935</v>
      </c>
      <c r="D17" s="63">
        <v>7</v>
      </c>
      <c r="E17" s="74">
        <v>7</v>
      </c>
      <c r="F17" s="63">
        <v>0</v>
      </c>
      <c r="G17" s="63">
        <v>0</v>
      </c>
      <c r="H17" s="63">
        <v>0</v>
      </c>
      <c r="I17" s="63">
        <v>0</v>
      </c>
      <c r="J17" s="63">
        <v>1</v>
      </c>
      <c r="K17" s="69" t="s">
        <v>1104</v>
      </c>
      <c r="L17" s="64" t="s">
        <v>1105</v>
      </c>
      <c r="M17" s="14"/>
    </row>
    <row r="18" spans="1:13" ht="20.100000000000001" customHeight="1" x14ac:dyDescent="0.25">
      <c r="A18" s="65" t="s">
        <v>955</v>
      </c>
      <c r="B18" s="65">
        <v>17</v>
      </c>
      <c r="C18" s="73" t="s">
        <v>935</v>
      </c>
      <c r="D18" s="65">
        <v>4</v>
      </c>
      <c r="E18" s="65">
        <v>4</v>
      </c>
      <c r="F18" s="65">
        <v>0</v>
      </c>
      <c r="G18" s="65">
        <v>0</v>
      </c>
      <c r="H18" s="65">
        <v>0</v>
      </c>
      <c r="I18" s="65">
        <v>0</v>
      </c>
      <c r="J18" s="65">
        <v>0</v>
      </c>
      <c r="K18" s="70" t="s">
        <v>956</v>
      </c>
      <c r="L18" s="66" t="s">
        <v>957</v>
      </c>
      <c r="M18" s="14"/>
    </row>
    <row r="19" spans="1:13" ht="20.100000000000001" customHeight="1" x14ac:dyDescent="0.25">
      <c r="A19" s="65" t="s">
        <v>958</v>
      </c>
      <c r="B19" s="65">
        <v>18</v>
      </c>
      <c r="C19" s="73" t="s">
        <v>935</v>
      </c>
      <c r="D19" s="65">
        <v>4</v>
      </c>
      <c r="E19" s="65">
        <v>4</v>
      </c>
      <c r="F19" s="65">
        <v>0</v>
      </c>
      <c r="G19" s="65">
        <v>0</v>
      </c>
      <c r="H19" s="65">
        <v>0</v>
      </c>
      <c r="I19" s="65">
        <v>0</v>
      </c>
      <c r="J19" s="65">
        <v>0</v>
      </c>
      <c r="K19" s="70" t="s">
        <v>959</v>
      </c>
      <c r="L19" s="66" t="s">
        <v>960</v>
      </c>
      <c r="M19" s="14"/>
    </row>
    <row r="20" spans="1:13" ht="20.100000000000001" customHeight="1" x14ac:dyDescent="0.25">
      <c r="A20" s="65" t="s">
        <v>961</v>
      </c>
      <c r="B20" s="65">
        <v>19</v>
      </c>
      <c r="C20" s="73" t="s">
        <v>935</v>
      </c>
      <c r="D20" s="65">
        <v>4</v>
      </c>
      <c r="E20" s="65">
        <v>4</v>
      </c>
      <c r="F20" s="65">
        <v>0</v>
      </c>
      <c r="G20" s="65">
        <v>0</v>
      </c>
      <c r="H20" s="65">
        <v>0</v>
      </c>
      <c r="I20" s="65">
        <v>0</v>
      </c>
      <c r="J20" s="65">
        <v>0</v>
      </c>
      <c r="K20" s="70" t="s">
        <v>962</v>
      </c>
      <c r="L20" s="66" t="s">
        <v>963</v>
      </c>
    </row>
    <row r="21" spans="1:13" ht="20.100000000000001" customHeight="1" x14ac:dyDescent="0.25">
      <c r="A21" s="67" t="s">
        <v>964</v>
      </c>
      <c r="B21" s="65">
        <v>20</v>
      </c>
      <c r="C21" s="73" t="s">
        <v>935</v>
      </c>
      <c r="D21" s="65">
        <v>6</v>
      </c>
      <c r="E21" s="65">
        <v>5</v>
      </c>
      <c r="F21" s="65">
        <v>1</v>
      </c>
      <c r="G21" s="65">
        <v>0</v>
      </c>
      <c r="H21" s="65">
        <v>0</v>
      </c>
      <c r="I21" s="65">
        <v>1</v>
      </c>
      <c r="J21" s="65">
        <v>0</v>
      </c>
      <c r="K21" s="70" t="s">
        <v>965</v>
      </c>
      <c r="L21" s="66" t="s">
        <v>966</v>
      </c>
    </row>
    <row r="22" spans="1:13" ht="20.100000000000001" customHeight="1" x14ac:dyDescent="0.25">
      <c r="A22" s="67">
        <v>46033</v>
      </c>
      <c r="B22" s="65">
        <v>21</v>
      </c>
      <c r="C22" s="73" t="s">
        <v>935</v>
      </c>
      <c r="D22" s="65">
        <v>4</v>
      </c>
      <c r="E22" s="65">
        <v>3</v>
      </c>
      <c r="F22" s="65">
        <v>0</v>
      </c>
      <c r="G22" s="65">
        <v>1</v>
      </c>
      <c r="H22" s="65">
        <v>0</v>
      </c>
      <c r="I22" s="65">
        <v>1</v>
      </c>
      <c r="J22" s="65">
        <v>0</v>
      </c>
      <c r="K22" s="70" t="s">
        <v>967</v>
      </c>
      <c r="L22" s="66" t="s">
        <v>968</v>
      </c>
    </row>
    <row r="23" spans="1:13" ht="20.100000000000001" customHeight="1" x14ac:dyDescent="0.25">
      <c r="A23" s="67">
        <v>46064</v>
      </c>
      <c r="B23" s="65">
        <v>22</v>
      </c>
      <c r="C23" s="73" t="s">
        <v>935</v>
      </c>
      <c r="D23" s="65">
        <v>4</v>
      </c>
      <c r="E23" s="65">
        <v>4</v>
      </c>
      <c r="F23" s="65">
        <v>0</v>
      </c>
      <c r="G23" s="65">
        <v>0</v>
      </c>
      <c r="H23" s="65">
        <v>0</v>
      </c>
      <c r="I23" s="65">
        <v>0</v>
      </c>
      <c r="J23" s="65">
        <v>0</v>
      </c>
      <c r="K23" s="70" t="s">
        <v>969</v>
      </c>
      <c r="L23" s="66" t="s">
        <v>970</v>
      </c>
    </row>
    <row r="24" spans="1:13" ht="20.100000000000001" customHeight="1" x14ac:dyDescent="0.25">
      <c r="A24" s="67">
        <v>46092</v>
      </c>
      <c r="B24" s="65">
        <v>23</v>
      </c>
      <c r="C24" s="73" t="s">
        <v>935</v>
      </c>
      <c r="D24" s="65">
        <v>4</v>
      </c>
      <c r="E24" s="65">
        <v>4</v>
      </c>
      <c r="F24" s="65">
        <v>0</v>
      </c>
      <c r="G24" s="65">
        <v>0</v>
      </c>
      <c r="H24" s="65">
        <v>0</v>
      </c>
      <c r="I24" s="65">
        <v>0</v>
      </c>
      <c r="J24" s="65">
        <v>0</v>
      </c>
      <c r="K24" s="70" t="s">
        <v>971</v>
      </c>
      <c r="L24" s="66" t="s">
        <v>972</v>
      </c>
    </row>
    <row r="25" spans="1:13" ht="20.100000000000001" customHeight="1" x14ac:dyDescent="0.25">
      <c r="A25" s="67">
        <v>46123</v>
      </c>
      <c r="B25" s="65">
        <v>24</v>
      </c>
      <c r="C25" s="73" t="s">
        <v>935</v>
      </c>
      <c r="D25" s="65">
        <v>5</v>
      </c>
      <c r="E25" s="65">
        <v>4</v>
      </c>
      <c r="F25" s="65">
        <v>0</v>
      </c>
      <c r="G25" s="65">
        <v>1</v>
      </c>
      <c r="H25" s="65">
        <v>0</v>
      </c>
      <c r="I25" s="65">
        <v>0</v>
      </c>
      <c r="J25" s="65">
        <v>0</v>
      </c>
      <c r="K25" s="70" t="s">
        <v>973</v>
      </c>
      <c r="L25" s="66" t="s">
        <v>974</v>
      </c>
    </row>
    <row r="26" spans="1:13" ht="20.100000000000001" customHeight="1" x14ac:dyDescent="0.25">
      <c r="A26" s="67">
        <v>46153</v>
      </c>
      <c r="B26" s="65">
        <v>25</v>
      </c>
      <c r="C26" s="73" t="s">
        <v>935</v>
      </c>
      <c r="D26" s="65">
        <v>4</v>
      </c>
      <c r="E26" s="65">
        <v>4</v>
      </c>
      <c r="F26" s="65">
        <v>0</v>
      </c>
      <c r="G26" s="65">
        <v>0</v>
      </c>
      <c r="H26" s="65">
        <v>0</v>
      </c>
      <c r="I26" s="65">
        <v>0</v>
      </c>
      <c r="J26" s="65">
        <v>0</v>
      </c>
      <c r="K26" s="70" t="s">
        <v>975</v>
      </c>
      <c r="L26" s="66" t="s">
        <v>976</v>
      </c>
    </row>
    <row r="27" spans="1:13" ht="20.100000000000001" customHeight="1" x14ac:dyDescent="0.25">
      <c r="A27" s="67">
        <v>46184</v>
      </c>
      <c r="B27" s="65">
        <v>26</v>
      </c>
      <c r="C27" s="73" t="s">
        <v>935</v>
      </c>
      <c r="D27" s="65">
        <v>9</v>
      </c>
      <c r="E27" s="65">
        <v>7</v>
      </c>
      <c r="F27" s="65">
        <v>2</v>
      </c>
      <c r="G27" s="65">
        <v>0</v>
      </c>
      <c r="H27" s="65">
        <v>0</v>
      </c>
      <c r="I27" s="65">
        <v>2</v>
      </c>
      <c r="J27" s="65">
        <v>1</v>
      </c>
      <c r="K27" s="70" t="s">
        <v>977</v>
      </c>
      <c r="L27" s="66" t="s">
        <v>978</v>
      </c>
    </row>
    <row r="28" spans="1:13" ht="20.100000000000001" customHeight="1" x14ac:dyDescent="0.25">
      <c r="A28" s="67">
        <v>46214</v>
      </c>
      <c r="B28" s="65">
        <v>27</v>
      </c>
      <c r="C28" s="73" t="s">
        <v>935</v>
      </c>
      <c r="D28" s="65">
        <v>6</v>
      </c>
      <c r="E28" s="65">
        <v>6</v>
      </c>
      <c r="F28" s="65">
        <v>0</v>
      </c>
      <c r="G28" s="65">
        <v>0</v>
      </c>
      <c r="H28" s="65">
        <v>0</v>
      </c>
      <c r="I28" s="65">
        <v>0</v>
      </c>
      <c r="J28" s="65">
        <v>0</v>
      </c>
      <c r="K28" s="70" t="s">
        <v>979</v>
      </c>
      <c r="L28" s="66" t="s">
        <v>980</v>
      </c>
    </row>
    <row r="29" spans="1:13" ht="20.100000000000001" customHeight="1" x14ac:dyDescent="0.25">
      <c r="A29" s="67">
        <v>46245</v>
      </c>
      <c r="B29" s="65">
        <v>28</v>
      </c>
      <c r="C29" s="73" t="s">
        <v>935</v>
      </c>
      <c r="D29" s="65">
        <v>4</v>
      </c>
      <c r="E29" s="65">
        <v>4</v>
      </c>
      <c r="F29" s="65">
        <v>0</v>
      </c>
      <c r="G29" s="65">
        <v>0</v>
      </c>
      <c r="H29" s="65">
        <v>0</v>
      </c>
      <c r="I29" s="65">
        <v>0</v>
      </c>
      <c r="J29" s="65">
        <v>0</v>
      </c>
      <c r="K29" s="70" t="s">
        <v>981</v>
      </c>
      <c r="L29" s="66" t="s">
        <v>982</v>
      </c>
    </row>
    <row r="30" spans="1:13" ht="20.100000000000001" customHeight="1" x14ac:dyDescent="0.25">
      <c r="A30" s="67">
        <v>46276</v>
      </c>
      <c r="B30" s="65">
        <v>29</v>
      </c>
      <c r="C30" s="73" t="s">
        <v>935</v>
      </c>
      <c r="D30" s="65">
        <v>5</v>
      </c>
      <c r="E30" s="65">
        <v>5</v>
      </c>
      <c r="F30" s="65">
        <v>0</v>
      </c>
      <c r="G30" s="65">
        <v>0</v>
      </c>
      <c r="H30" s="65">
        <v>0</v>
      </c>
      <c r="I30" s="65">
        <v>0</v>
      </c>
      <c r="J30" s="65">
        <v>0</v>
      </c>
      <c r="K30" s="70" t="s">
        <v>983</v>
      </c>
      <c r="L30" s="66" t="s">
        <v>984</v>
      </c>
    </row>
    <row r="31" spans="1:13" ht="20.100000000000001" customHeight="1" x14ac:dyDescent="0.25">
      <c r="A31" s="67">
        <v>46306</v>
      </c>
      <c r="B31" s="65">
        <v>30</v>
      </c>
      <c r="C31" s="73" t="s">
        <v>935</v>
      </c>
      <c r="D31" s="65">
        <v>6</v>
      </c>
      <c r="E31" s="65">
        <v>6</v>
      </c>
      <c r="F31" s="65">
        <v>0</v>
      </c>
      <c r="G31" s="65">
        <v>0</v>
      </c>
      <c r="H31" s="65">
        <v>0</v>
      </c>
      <c r="I31" s="65">
        <v>0</v>
      </c>
      <c r="J31" s="65">
        <v>0</v>
      </c>
      <c r="K31" s="70" t="s">
        <v>985</v>
      </c>
      <c r="L31" s="66" t="s">
        <v>986</v>
      </c>
    </row>
    <row r="32" spans="1:13" ht="20.100000000000001" customHeight="1" x14ac:dyDescent="0.25">
      <c r="A32" s="56"/>
      <c r="B32" s="56"/>
      <c r="C32" s="56"/>
      <c r="D32" s="56"/>
      <c r="E32" s="56"/>
      <c r="F32" s="56"/>
      <c r="G32" s="56"/>
      <c r="H32" s="56"/>
      <c r="I32" s="56"/>
      <c r="J32" s="56"/>
      <c r="K32" s="57"/>
      <c r="L32" s="58"/>
    </row>
    <row r="33" spans="1:12" ht="20.100000000000001" customHeight="1" x14ac:dyDescent="0.25">
      <c r="A33" s="30"/>
      <c r="B33" s="30"/>
      <c r="C33" s="30"/>
      <c r="D33" s="30"/>
      <c r="E33" s="30"/>
      <c r="F33" s="30"/>
      <c r="G33" s="30"/>
      <c r="H33" s="30"/>
      <c r="I33" s="30"/>
      <c r="J33" s="30"/>
      <c r="K33" s="32"/>
      <c r="L33" s="31"/>
    </row>
    <row r="34" spans="1:12" ht="20.100000000000001" customHeight="1" x14ac:dyDescent="0.25">
      <c r="A34" s="30"/>
      <c r="B34" s="30"/>
      <c r="C34" s="30"/>
      <c r="D34" s="30"/>
      <c r="E34" s="30"/>
      <c r="F34" s="30"/>
      <c r="G34" s="30"/>
      <c r="H34" s="30"/>
      <c r="I34" s="30"/>
      <c r="J34" s="30"/>
      <c r="K34" s="32"/>
      <c r="L34" s="31"/>
    </row>
    <row r="35" spans="1:12" ht="20.100000000000001" customHeight="1" x14ac:dyDescent="0.25">
      <c r="A35" s="30"/>
      <c r="B35" s="30"/>
      <c r="C35" s="30"/>
      <c r="D35" s="30"/>
      <c r="E35" s="30"/>
      <c r="F35" s="30"/>
      <c r="G35" s="30"/>
      <c r="H35" s="30"/>
      <c r="I35" s="30"/>
      <c r="J35" s="30"/>
      <c r="K35" s="32"/>
      <c r="L35" s="31"/>
    </row>
    <row r="36" spans="1:12" ht="20.100000000000001" customHeight="1" x14ac:dyDescent="0.25">
      <c r="A36" s="30"/>
      <c r="B36" s="30"/>
      <c r="C36" s="30"/>
      <c r="D36" s="30"/>
      <c r="E36" s="30"/>
      <c r="F36" s="30"/>
      <c r="G36" s="30"/>
      <c r="H36" s="30"/>
      <c r="I36" s="30"/>
      <c r="J36" s="30"/>
      <c r="K36" s="32"/>
      <c r="L36" s="31"/>
    </row>
    <row r="37" spans="1:12" ht="20.100000000000001" customHeight="1" x14ac:dyDescent="0.25">
      <c r="A37" s="30"/>
      <c r="B37" s="30"/>
      <c r="C37" s="30"/>
      <c r="D37" s="30"/>
      <c r="E37" s="30"/>
      <c r="F37" s="30"/>
      <c r="G37" s="30"/>
      <c r="H37" s="30"/>
      <c r="I37" s="30"/>
      <c r="J37" s="30"/>
      <c r="K37" s="32"/>
      <c r="L37" s="31"/>
    </row>
    <row r="38" spans="1:12" ht="20.100000000000001" customHeight="1" x14ac:dyDescent="0.25">
      <c r="A38" s="30"/>
      <c r="B38" s="30"/>
      <c r="C38" s="30"/>
      <c r="D38" s="30"/>
      <c r="E38" s="30"/>
      <c r="F38" s="30"/>
      <c r="G38" s="30"/>
      <c r="H38" s="30"/>
      <c r="I38" s="30"/>
      <c r="J38" s="30"/>
      <c r="K38" s="32"/>
      <c r="L38" s="31"/>
    </row>
    <row r="39" spans="1:12" ht="20.100000000000001" customHeight="1" x14ac:dyDescent="0.25">
      <c r="A39" s="30"/>
      <c r="B39" s="30"/>
      <c r="C39" s="30"/>
      <c r="D39" s="30"/>
      <c r="E39" s="30"/>
      <c r="F39" s="30"/>
      <c r="G39" s="30"/>
      <c r="H39" s="30"/>
      <c r="I39" s="30"/>
      <c r="J39" s="30"/>
      <c r="K39" s="32"/>
      <c r="L39" s="31"/>
    </row>
    <row r="40" spans="1:12" ht="20.100000000000001" customHeight="1" x14ac:dyDescent="0.25">
      <c r="A40" s="30"/>
      <c r="B40" s="30"/>
      <c r="C40" s="30"/>
      <c r="D40" s="30"/>
      <c r="E40" s="30"/>
      <c r="F40" s="30"/>
      <c r="G40" s="30"/>
      <c r="H40" s="30"/>
      <c r="I40" s="30"/>
      <c r="J40" s="30"/>
      <c r="K40" s="32"/>
      <c r="L40" s="31"/>
    </row>
    <row r="41" spans="1:12" ht="20.100000000000001" customHeight="1" x14ac:dyDescent="0.25">
      <c r="A41" s="30"/>
      <c r="B41" s="30"/>
      <c r="C41" s="30"/>
      <c r="D41" s="30"/>
      <c r="E41" s="30"/>
      <c r="F41" s="30"/>
      <c r="G41" s="30"/>
      <c r="H41" s="30"/>
      <c r="I41" s="30"/>
      <c r="J41" s="30"/>
      <c r="K41" s="32"/>
      <c r="L41" s="31"/>
    </row>
    <row r="42" spans="1:12" ht="20.100000000000001" customHeight="1" x14ac:dyDescent="0.25">
      <c r="A42" s="30"/>
      <c r="B42" s="30"/>
      <c r="C42" s="30"/>
      <c r="D42" s="30"/>
      <c r="E42" s="30"/>
      <c r="F42" s="30"/>
      <c r="G42" s="30"/>
      <c r="H42" s="30"/>
      <c r="I42" s="30"/>
      <c r="J42" s="30"/>
      <c r="K42" s="32"/>
      <c r="L42" s="31"/>
    </row>
    <row r="43" spans="1:12" ht="20.100000000000001" customHeight="1" x14ac:dyDescent="0.25">
      <c r="A43" s="30"/>
      <c r="B43" s="30"/>
      <c r="C43" s="30"/>
      <c r="D43" s="30"/>
      <c r="E43" s="30"/>
      <c r="F43" s="30"/>
      <c r="G43" s="30"/>
      <c r="H43" s="30"/>
      <c r="I43" s="30"/>
      <c r="J43" s="30"/>
      <c r="K43" s="32"/>
      <c r="L43" s="31"/>
    </row>
    <row r="44" spans="1:12" ht="20.100000000000001" customHeight="1" x14ac:dyDescent="0.25">
      <c r="A44" s="30"/>
      <c r="B44" s="30"/>
      <c r="C44" s="30"/>
      <c r="D44" s="30"/>
      <c r="E44" s="30"/>
      <c r="F44" s="30"/>
      <c r="G44" s="30"/>
      <c r="H44" s="30"/>
      <c r="I44" s="30"/>
      <c r="J44" s="30"/>
      <c r="K44" s="32"/>
      <c r="L44" s="31"/>
    </row>
    <row r="45" spans="1:12" ht="20.100000000000001" customHeight="1" x14ac:dyDescent="0.25">
      <c r="A45" s="30"/>
      <c r="B45" s="30"/>
      <c r="C45" s="30"/>
      <c r="D45" s="30"/>
      <c r="E45" s="30"/>
      <c r="F45" s="30"/>
      <c r="G45" s="30"/>
      <c r="H45" s="30"/>
      <c r="I45" s="30"/>
      <c r="J45" s="30"/>
      <c r="K45" s="32"/>
      <c r="L45" s="31"/>
    </row>
    <row r="46" spans="1:12" ht="20.100000000000001" customHeight="1" x14ac:dyDescent="0.25">
      <c r="A46" s="30"/>
      <c r="B46" s="30"/>
      <c r="C46" s="30"/>
      <c r="D46" s="30"/>
      <c r="E46" s="30"/>
      <c r="F46" s="30"/>
      <c r="G46" s="30"/>
      <c r="H46" s="30"/>
      <c r="I46" s="30"/>
      <c r="J46" s="30"/>
      <c r="K46" s="32"/>
      <c r="L46" s="31"/>
    </row>
    <row r="47" spans="1:12" ht="20.100000000000001" customHeight="1" x14ac:dyDescent="0.25">
      <c r="A47" s="30"/>
      <c r="B47" s="30"/>
      <c r="C47" s="30"/>
      <c r="D47" s="30"/>
      <c r="E47" s="30"/>
      <c r="F47" s="30"/>
      <c r="G47" s="30"/>
      <c r="H47" s="30"/>
      <c r="I47" s="30"/>
      <c r="J47" s="30"/>
      <c r="K47" s="32"/>
      <c r="L47" s="31"/>
    </row>
    <row r="48" spans="1:12" ht="20.100000000000001" customHeight="1" x14ac:dyDescent="0.25">
      <c r="A48" s="30"/>
      <c r="B48" s="30"/>
      <c r="C48" s="30"/>
      <c r="D48" s="30"/>
      <c r="E48" s="30"/>
      <c r="F48" s="30"/>
      <c r="G48" s="30"/>
      <c r="H48" s="30"/>
      <c r="I48" s="30"/>
      <c r="J48" s="30"/>
      <c r="K48" s="32"/>
      <c r="L48" s="31"/>
    </row>
    <row r="49" spans="1:12" ht="20.100000000000001" customHeight="1" x14ac:dyDescent="0.25">
      <c r="A49" s="30"/>
      <c r="B49" s="30"/>
      <c r="C49" s="30"/>
      <c r="D49" s="30"/>
      <c r="E49" s="30"/>
      <c r="F49" s="30"/>
      <c r="G49" s="30"/>
      <c r="H49" s="30"/>
      <c r="I49" s="30"/>
      <c r="J49" s="30"/>
      <c r="K49" s="32"/>
      <c r="L49" s="31"/>
    </row>
    <row r="50" spans="1:12" ht="20.100000000000001" customHeight="1" x14ac:dyDescent="0.25">
      <c r="A50" s="30"/>
      <c r="B50" s="30"/>
      <c r="C50" s="30"/>
      <c r="D50" s="30"/>
      <c r="E50" s="30"/>
      <c r="F50" s="30"/>
      <c r="G50" s="30"/>
      <c r="H50" s="30"/>
      <c r="I50" s="30"/>
      <c r="J50" s="30"/>
      <c r="K50" s="32"/>
      <c r="L50" s="31"/>
    </row>
    <row r="51" spans="1:12" ht="20.100000000000001" customHeight="1" x14ac:dyDescent="0.25">
      <c r="A51" s="30"/>
      <c r="B51" s="30"/>
      <c r="C51" s="30"/>
      <c r="D51" s="30"/>
      <c r="E51" s="30"/>
      <c r="F51" s="30"/>
      <c r="G51" s="30"/>
      <c r="H51" s="30"/>
      <c r="I51" s="30"/>
      <c r="J51" s="30"/>
      <c r="K51" s="32"/>
      <c r="L51" s="31"/>
    </row>
    <row r="52" spans="1:12" ht="20.100000000000001" customHeight="1" x14ac:dyDescent="0.25">
      <c r="A52" s="30"/>
      <c r="B52" s="30"/>
      <c r="C52" s="30"/>
      <c r="D52" s="30"/>
      <c r="E52" s="30"/>
      <c r="F52" s="30"/>
      <c r="G52" s="30"/>
      <c r="H52" s="30"/>
      <c r="I52" s="30"/>
      <c r="J52" s="30"/>
      <c r="K52" s="32"/>
      <c r="L52" s="31"/>
    </row>
    <row r="53" spans="1:12" ht="20.100000000000001" customHeight="1" x14ac:dyDescent="0.25">
      <c r="A53" s="30"/>
      <c r="B53" s="30"/>
      <c r="C53" s="30"/>
      <c r="D53" s="30"/>
      <c r="E53" s="30"/>
      <c r="F53" s="30"/>
      <c r="G53" s="30"/>
      <c r="H53" s="30"/>
      <c r="I53" s="30"/>
      <c r="J53" s="30"/>
      <c r="K53" s="32"/>
      <c r="L53" s="31"/>
    </row>
    <row r="54" spans="1:12" ht="20.100000000000001" customHeight="1" x14ac:dyDescent="0.25">
      <c r="A54" s="30"/>
      <c r="B54" s="30"/>
      <c r="C54" s="30"/>
      <c r="D54" s="30"/>
      <c r="E54" s="30"/>
      <c r="F54" s="30"/>
      <c r="G54" s="30"/>
      <c r="H54" s="30"/>
      <c r="I54" s="30"/>
      <c r="J54" s="30"/>
      <c r="K54" s="32"/>
      <c r="L54" s="31"/>
    </row>
    <row r="55" spans="1:12" ht="20.100000000000001" customHeight="1" x14ac:dyDescent="0.25">
      <c r="A55" s="30"/>
      <c r="B55" s="30"/>
      <c r="C55" s="30"/>
      <c r="D55" s="30"/>
      <c r="E55" s="30"/>
      <c r="F55" s="30"/>
      <c r="G55" s="30"/>
      <c r="H55" s="30"/>
      <c r="I55" s="30"/>
      <c r="J55" s="30"/>
      <c r="K55" s="32"/>
      <c r="L55" s="31"/>
    </row>
    <row r="56" spans="1:12" ht="20.100000000000001" customHeight="1" x14ac:dyDescent="0.25">
      <c r="A56" s="30"/>
      <c r="B56" s="30"/>
      <c r="C56" s="30"/>
      <c r="D56" s="30"/>
      <c r="E56" s="30"/>
      <c r="F56" s="30"/>
      <c r="G56" s="30"/>
      <c r="H56" s="30"/>
      <c r="I56" s="30"/>
      <c r="J56" s="30"/>
      <c r="K56" s="32"/>
      <c r="L56" s="31"/>
    </row>
    <row r="57" spans="1:12" ht="20.100000000000001" customHeight="1" x14ac:dyDescent="0.25">
      <c r="A57" s="30"/>
      <c r="B57" s="30"/>
      <c r="C57" s="30"/>
      <c r="D57" s="30"/>
      <c r="E57" s="30"/>
      <c r="F57" s="30"/>
      <c r="G57" s="30"/>
      <c r="H57" s="30"/>
      <c r="I57" s="30"/>
      <c r="J57" s="30"/>
      <c r="K57" s="32"/>
      <c r="L57" s="31"/>
    </row>
    <row r="58" spans="1:12" ht="20.100000000000001" customHeight="1" x14ac:dyDescent="0.25">
      <c r="A58" s="30"/>
      <c r="B58" s="30"/>
      <c r="C58" s="30"/>
      <c r="D58" s="30"/>
      <c r="E58" s="30"/>
      <c r="F58" s="30"/>
      <c r="G58" s="30"/>
      <c r="H58" s="30"/>
      <c r="I58" s="30"/>
      <c r="J58" s="30"/>
      <c r="K58" s="32"/>
      <c r="L58" s="31"/>
    </row>
    <row r="59" spans="1:12" ht="20.100000000000001" customHeight="1" x14ac:dyDescent="0.25">
      <c r="A59" s="30"/>
      <c r="B59" s="30"/>
      <c r="C59" s="30"/>
      <c r="D59" s="30"/>
      <c r="E59" s="30"/>
      <c r="F59" s="30"/>
      <c r="G59" s="30"/>
      <c r="H59" s="30"/>
      <c r="I59" s="30"/>
      <c r="J59" s="30"/>
      <c r="K59" s="32"/>
      <c r="L59" s="31"/>
    </row>
    <row r="60" spans="1:12" ht="20.100000000000001" customHeight="1" x14ac:dyDescent="0.25">
      <c r="A60" s="30"/>
      <c r="B60" s="30"/>
      <c r="C60" s="30"/>
      <c r="D60" s="30"/>
      <c r="E60" s="30"/>
      <c r="F60" s="30"/>
      <c r="G60" s="30"/>
      <c r="H60" s="30"/>
      <c r="I60" s="30"/>
      <c r="J60" s="30"/>
      <c r="K60" s="32"/>
      <c r="L60" s="31"/>
    </row>
    <row r="61" spans="1:12" ht="20.100000000000001" customHeight="1" x14ac:dyDescent="0.25">
      <c r="A61" s="30"/>
      <c r="B61" s="30"/>
      <c r="C61" s="30"/>
      <c r="D61" s="30"/>
      <c r="E61" s="30"/>
      <c r="F61" s="30"/>
      <c r="G61" s="30"/>
      <c r="H61" s="30"/>
      <c r="I61" s="30"/>
      <c r="J61" s="30"/>
      <c r="K61" s="32"/>
      <c r="L61" s="31"/>
    </row>
    <row r="62" spans="1:12" ht="20.100000000000001" customHeight="1" x14ac:dyDescent="0.25">
      <c r="A62" s="30"/>
      <c r="B62" s="30"/>
      <c r="C62" s="30"/>
      <c r="D62" s="30"/>
      <c r="E62" s="30"/>
      <c r="F62" s="30"/>
      <c r="G62" s="30"/>
      <c r="H62" s="30"/>
      <c r="I62" s="30"/>
      <c r="J62" s="30"/>
      <c r="K62" s="32"/>
      <c r="L62" s="31"/>
    </row>
    <row r="63" spans="1:12" ht="20.100000000000001" customHeight="1" x14ac:dyDescent="0.25">
      <c r="A63" s="30"/>
      <c r="B63" s="30"/>
      <c r="C63" s="30"/>
      <c r="D63" s="30"/>
      <c r="E63" s="30"/>
      <c r="F63" s="30"/>
      <c r="G63" s="30"/>
      <c r="H63" s="30"/>
      <c r="I63" s="30"/>
      <c r="J63" s="30"/>
      <c r="K63" s="32"/>
      <c r="L63" s="31"/>
    </row>
    <row r="64" spans="1:12" ht="20.100000000000001" customHeight="1" x14ac:dyDescent="0.25">
      <c r="A64" s="30"/>
      <c r="B64" s="30"/>
      <c r="C64" s="30"/>
      <c r="D64" s="30"/>
      <c r="E64" s="30"/>
      <c r="F64" s="30"/>
      <c r="G64" s="30"/>
      <c r="H64" s="30"/>
      <c r="I64" s="30"/>
      <c r="J64" s="30"/>
      <c r="K64" s="32"/>
      <c r="L64" s="31"/>
    </row>
    <row r="65" spans="1:14" ht="20.100000000000001" customHeight="1" x14ac:dyDescent="0.25">
      <c r="A65" s="30"/>
      <c r="B65" s="30"/>
      <c r="C65" s="30"/>
      <c r="D65" s="30"/>
      <c r="E65" s="30"/>
      <c r="F65" s="30"/>
      <c r="G65" s="30"/>
      <c r="H65" s="30"/>
      <c r="I65" s="30"/>
      <c r="J65" s="30"/>
      <c r="K65" s="32"/>
      <c r="L65" s="31"/>
    </row>
    <row r="66" spans="1:14" ht="20.100000000000001" customHeight="1" x14ac:dyDescent="0.25">
      <c r="A66" s="30"/>
      <c r="B66" s="30"/>
      <c r="C66" s="30"/>
      <c r="D66" s="30"/>
      <c r="E66" s="30"/>
      <c r="F66" s="30"/>
      <c r="G66" s="30"/>
      <c r="H66" s="30"/>
      <c r="I66" s="30"/>
      <c r="J66" s="30"/>
      <c r="K66" s="32"/>
      <c r="L66" s="31"/>
    </row>
    <row r="67" spans="1:14" ht="20.100000000000001" customHeight="1" x14ac:dyDescent="0.25">
      <c r="A67" s="30"/>
      <c r="B67" s="30"/>
      <c r="C67" s="30"/>
      <c r="D67" s="30"/>
      <c r="E67" s="30"/>
      <c r="F67" s="30"/>
      <c r="G67" s="30"/>
      <c r="H67" s="30"/>
      <c r="I67" s="30"/>
      <c r="J67" s="30"/>
      <c r="K67" s="32"/>
      <c r="L67" s="31"/>
    </row>
    <row r="68" spans="1:14" ht="20.100000000000001" customHeight="1" x14ac:dyDescent="0.25">
      <c r="A68" s="30"/>
      <c r="B68" s="30"/>
      <c r="C68" s="30"/>
      <c r="D68" s="30"/>
      <c r="E68" s="30"/>
      <c r="F68" s="30"/>
      <c r="G68" s="30"/>
      <c r="H68" s="30"/>
      <c r="I68" s="30"/>
      <c r="J68" s="30"/>
      <c r="K68" s="32"/>
      <c r="L68" s="31"/>
    </row>
    <row r="69" spans="1:14" ht="20.100000000000001" customHeight="1" x14ac:dyDescent="0.25">
      <c r="A69" s="30"/>
      <c r="B69" s="30"/>
      <c r="C69" s="30"/>
      <c r="D69" s="30"/>
      <c r="E69" s="30"/>
      <c r="F69" s="30"/>
      <c r="G69" s="30"/>
      <c r="H69" s="30"/>
      <c r="I69" s="30"/>
      <c r="J69" s="30"/>
      <c r="K69" s="32"/>
      <c r="L69" s="31"/>
    </row>
    <row r="70" spans="1:14" ht="20.100000000000001" customHeight="1" x14ac:dyDescent="0.25">
      <c r="A70" s="30"/>
      <c r="B70" s="30"/>
      <c r="C70" s="30"/>
      <c r="D70" s="30"/>
      <c r="E70" s="30"/>
      <c r="F70" s="30"/>
      <c r="G70" s="30"/>
      <c r="H70" s="30"/>
      <c r="I70" s="30"/>
      <c r="J70" s="30"/>
      <c r="K70" s="32"/>
      <c r="L70" s="31"/>
    </row>
    <row r="71" spans="1:14" ht="20.100000000000001" customHeight="1" x14ac:dyDescent="0.25">
      <c r="A71" s="30"/>
      <c r="B71" s="30"/>
      <c r="C71" s="30"/>
      <c r="D71" s="30"/>
      <c r="E71" s="30"/>
      <c r="F71" s="30"/>
      <c r="G71" s="30"/>
      <c r="H71" s="30"/>
      <c r="I71" s="30"/>
      <c r="J71" s="30"/>
      <c r="K71" s="32"/>
      <c r="L71" s="31"/>
    </row>
    <row r="72" spans="1:14" ht="20.100000000000001" customHeight="1" x14ac:dyDescent="0.25">
      <c r="A72" s="30"/>
      <c r="B72" s="30"/>
      <c r="C72" s="30"/>
      <c r="D72" s="30"/>
      <c r="E72" s="30"/>
      <c r="F72" s="30"/>
      <c r="G72" s="30"/>
      <c r="H72" s="30"/>
      <c r="I72" s="30"/>
      <c r="J72" s="30"/>
      <c r="K72" s="32"/>
      <c r="L72" s="31"/>
    </row>
    <row r="73" spans="1:14" ht="20.100000000000001" customHeight="1" x14ac:dyDescent="0.25">
      <c r="A73" s="30"/>
      <c r="B73" s="30"/>
      <c r="C73" s="30"/>
      <c r="D73" s="30"/>
      <c r="E73" s="30"/>
      <c r="F73" s="30"/>
      <c r="G73" s="30"/>
      <c r="H73" s="30"/>
      <c r="I73" s="30"/>
      <c r="J73" s="30"/>
      <c r="K73" s="32"/>
      <c r="L73" s="31"/>
    </row>
    <row r="74" spans="1:14" ht="20.100000000000001" customHeight="1" x14ac:dyDescent="0.25">
      <c r="A74" s="30"/>
      <c r="B74" s="30"/>
      <c r="C74" s="30"/>
      <c r="D74" s="30"/>
      <c r="E74" s="30"/>
      <c r="F74" s="30"/>
      <c r="G74" s="30"/>
      <c r="H74" s="30"/>
      <c r="I74" s="30"/>
      <c r="J74" s="30"/>
      <c r="K74" s="32"/>
      <c r="L74" s="31"/>
    </row>
    <row r="75" spans="1:14" ht="20.100000000000001" customHeight="1" x14ac:dyDescent="0.25">
      <c r="A75" s="30"/>
      <c r="B75" s="30"/>
      <c r="C75" s="30"/>
      <c r="D75" s="30"/>
      <c r="E75" s="30"/>
      <c r="F75" s="30"/>
      <c r="G75" s="30"/>
      <c r="H75" s="30"/>
      <c r="I75" s="30"/>
      <c r="J75" s="30"/>
      <c r="K75" s="32"/>
      <c r="L75" s="31"/>
    </row>
    <row r="76" spans="1:14" ht="20.100000000000001" customHeight="1" x14ac:dyDescent="0.25">
      <c r="A76" s="30"/>
      <c r="B76" s="30"/>
      <c r="C76" s="30"/>
      <c r="D76" s="30"/>
      <c r="E76" s="30"/>
      <c r="F76" s="30"/>
      <c r="G76" s="30"/>
      <c r="H76" s="30"/>
      <c r="I76" s="30"/>
      <c r="J76" s="30"/>
      <c r="K76" s="32"/>
      <c r="L76" s="31"/>
    </row>
    <row r="77" spans="1:14" ht="20.100000000000001" customHeight="1" x14ac:dyDescent="0.25">
      <c r="A77" s="30"/>
      <c r="B77" s="30"/>
      <c r="C77" s="30"/>
      <c r="D77" s="30"/>
      <c r="E77" s="30"/>
      <c r="F77" s="30"/>
      <c r="G77" s="30"/>
      <c r="H77" s="30"/>
      <c r="I77" s="30"/>
      <c r="J77" s="30"/>
      <c r="K77" s="32"/>
      <c r="L77" s="31"/>
    </row>
    <row r="78" spans="1:14" ht="20.100000000000001" customHeight="1" x14ac:dyDescent="0.25">
      <c r="A78" s="30"/>
      <c r="B78" s="30"/>
      <c r="C78" s="30"/>
      <c r="D78" s="30"/>
      <c r="E78" s="30"/>
      <c r="F78" s="30"/>
      <c r="G78" s="30"/>
      <c r="H78" s="30"/>
      <c r="I78" s="30"/>
      <c r="J78" s="30"/>
      <c r="K78" s="32"/>
      <c r="L78" s="31"/>
    </row>
    <row r="79" spans="1:14" ht="20.100000000000001" customHeight="1" x14ac:dyDescent="0.25">
      <c r="A79" s="30"/>
      <c r="B79" s="30"/>
      <c r="C79" s="30"/>
      <c r="D79" s="30"/>
      <c r="E79" s="30"/>
      <c r="F79" s="30"/>
      <c r="G79" s="30"/>
      <c r="H79" s="30"/>
      <c r="I79" s="30"/>
      <c r="J79" s="30"/>
      <c r="K79" s="32"/>
      <c r="L79" s="31"/>
      <c r="N79" s="9"/>
    </row>
    <row r="80" spans="1:14" ht="20.100000000000001" customHeight="1" x14ac:dyDescent="0.25">
      <c r="A80" s="30"/>
      <c r="B80" s="30"/>
      <c r="C80" s="30"/>
      <c r="D80" s="30"/>
      <c r="E80" s="30"/>
      <c r="F80" s="30"/>
      <c r="G80" s="30"/>
      <c r="H80" s="30"/>
      <c r="I80" s="30"/>
      <c r="J80" s="30"/>
      <c r="K80" s="32"/>
      <c r="L80" s="31"/>
      <c r="N80" s="9"/>
    </row>
    <row r="81" spans="1:14" ht="20.100000000000001" customHeight="1" x14ac:dyDescent="0.25">
      <c r="A81" s="30"/>
      <c r="B81" s="30"/>
      <c r="C81" s="30"/>
      <c r="D81" s="30"/>
      <c r="E81" s="30"/>
      <c r="F81" s="30"/>
      <c r="G81" s="30"/>
      <c r="H81" s="30"/>
      <c r="I81" s="30"/>
      <c r="J81" s="30"/>
      <c r="K81" s="32"/>
      <c r="L81" s="31"/>
      <c r="N81" s="9"/>
    </row>
    <row r="82" spans="1:14" ht="20.100000000000001" customHeight="1" x14ac:dyDescent="0.25">
      <c r="A82" s="30"/>
      <c r="B82" s="30"/>
      <c r="C82" s="30"/>
      <c r="D82" s="30"/>
      <c r="E82" s="30"/>
      <c r="F82" s="30"/>
      <c r="G82" s="30"/>
      <c r="H82" s="30"/>
      <c r="I82" s="30"/>
      <c r="J82" s="30"/>
      <c r="K82" s="32"/>
      <c r="L82" s="31"/>
      <c r="N82" s="9"/>
    </row>
    <row r="83" spans="1:14" ht="20.100000000000001" customHeight="1" x14ac:dyDescent="0.25">
      <c r="A83" s="30"/>
      <c r="B83" s="30"/>
      <c r="C83" s="30"/>
      <c r="D83" s="30"/>
      <c r="E83" s="30"/>
      <c r="F83" s="30"/>
      <c r="G83" s="30"/>
      <c r="H83" s="30"/>
      <c r="I83" s="30"/>
      <c r="J83" s="30"/>
      <c r="K83" s="32"/>
      <c r="L83" s="31"/>
      <c r="N83" s="9"/>
    </row>
    <row r="84" spans="1:14" ht="20.100000000000001" customHeight="1" x14ac:dyDescent="0.25">
      <c r="A84" s="30"/>
      <c r="B84" s="30"/>
      <c r="C84" s="30"/>
      <c r="D84" s="30"/>
      <c r="E84" s="30"/>
      <c r="F84" s="30"/>
      <c r="G84" s="30"/>
      <c r="H84" s="30"/>
      <c r="I84" s="30"/>
      <c r="J84" s="30"/>
      <c r="K84" s="32"/>
      <c r="L84" s="31"/>
      <c r="N84" s="9"/>
    </row>
    <row r="85" spans="1:14" ht="20.100000000000001" customHeight="1" x14ac:dyDescent="0.25">
      <c r="A85" s="30"/>
      <c r="B85" s="30"/>
      <c r="C85" s="30"/>
      <c r="D85" s="30"/>
      <c r="E85" s="30"/>
      <c r="F85" s="30"/>
      <c r="G85" s="30"/>
      <c r="H85" s="30"/>
      <c r="I85" s="30"/>
      <c r="J85" s="30"/>
      <c r="K85" s="32"/>
      <c r="L85" s="31"/>
      <c r="N85" s="9"/>
    </row>
    <row r="86" spans="1:14" ht="20.100000000000001" customHeight="1" x14ac:dyDescent="0.25">
      <c r="A86" s="30"/>
      <c r="B86" s="30"/>
      <c r="C86" s="30"/>
      <c r="D86" s="30"/>
      <c r="E86" s="30"/>
      <c r="F86" s="30"/>
      <c r="G86" s="30"/>
      <c r="H86" s="30"/>
      <c r="I86" s="30"/>
      <c r="J86" s="30"/>
      <c r="K86" s="32"/>
      <c r="L86" s="31"/>
      <c r="N86" s="9"/>
    </row>
    <row r="87" spans="1:14" ht="20.100000000000001" customHeight="1" x14ac:dyDescent="0.25">
      <c r="A87" s="30"/>
      <c r="B87" s="30"/>
      <c r="C87" s="30"/>
      <c r="D87" s="30"/>
      <c r="E87" s="30"/>
      <c r="F87" s="30"/>
      <c r="G87" s="30"/>
      <c r="H87" s="30"/>
      <c r="I87" s="30"/>
      <c r="J87" s="30"/>
      <c r="K87" s="32"/>
      <c r="L87" s="31"/>
      <c r="N87" s="9"/>
    </row>
    <row r="88" spans="1:14" ht="20.100000000000001" customHeight="1" x14ac:dyDescent="0.25">
      <c r="A88" s="30"/>
      <c r="B88" s="30"/>
      <c r="C88" s="30"/>
      <c r="D88" s="30"/>
      <c r="E88" s="30"/>
      <c r="F88" s="30"/>
      <c r="G88" s="30"/>
      <c r="H88" s="30"/>
      <c r="I88" s="30"/>
      <c r="J88" s="30"/>
      <c r="K88" s="32"/>
      <c r="L88" s="31"/>
      <c r="N88" s="9"/>
    </row>
    <row r="89" spans="1:14" ht="20.100000000000001" customHeight="1" x14ac:dyDescent="0.25">
      <c r="A89" s="30"/>
      <c r="B89" s="30"/>
      <c r="C89" s="30"/>
      <c r="D89" s="30"/>
      <c r="E89" s="30"/>
      <c r="F89" s="30"/>
      <c r="G89" s="30"/>
      <c r="H89" s="30"/>
      <c r="I89" s="30"/>
      <c r="J89" s="30"/>
      <c r="K89" s="32"/>
      <c r="L89" s="31"/>
      <c r="N89" s="9"/>
    </row>
    <row r="90" spans="1:14" ht="20.100000000000001" customHeight="1" x14ac:dyDescent="0.25">
      <c r="A90" s="30"/>
      <c r="B90" s="30"/>
      <c r="C90" s="30"/>
      <c r="D90" s="30"/>
      <c r="E90" s="30"/>
      <c r="F90" s="30"/>
      <c r="G90" s="30"/>
      <c r="H90" s="30"/>
      <c r="I90" s="30"/>
      <c r="J90" s="30"/>
      <c r="K90" s="32"/>
      <c r="L90" s="31"/>
      <c r="N90" s="9"/>
    </row>
    <row r="91" spans="1:14" ht="20.100000000000001" customHeight="1" x14ac:dyDescent="0.25">
      <c r="A91" s="30"/>
      <c r="B91" s="30"/>
      <c r="C91" s="30"/>
      <c r="D91" s="30"/>
      <c r="E91" s="30"/>
      <c r="F91" s="30"/>
      <c r="G91" s="30"/>
      <c r="H91" s="30"/>
      <c r="I91" s="30"/>
      <c r="J91" s="30"/>
      <c r="K91" s="32"/>
      <c r="L91" s="31"/>
      <c r="N91" s="9"/>
    </row>
    <row r="92" spans="1:14" ht="20.100000000000001" customHeight="1" x14ac:dyDescent="0.25">
      <c r="A92" s="30"/>
      <c r="B92" s="30"/>
      <c r="C92" s="30"/>
      <c r="D92" s="30"/>
      <c r="E92" s="30"/>
      <c r="F92" s="30"/>
      <c r="G92" s="30"/>
      <c r="H92" s="30"/>
      <c r="I92" s="30"/>
      <c r="J92" s="30"/>
      <c r="K92" s="32"/>
      <c r="L92" s="31"/>
      <c r="N92" s="9"/>
    </row>
    <row r="93" spans="1:14" ht="20.100000000000001" customHeight="1" x14ac:dyDescent="0.25">
      <c r="A93" s="30"/>
      <c r="B93" s="30"/>
      <c r="C93" s="30"/>
      <c r="D93" s="30"/>
      <c r="E93" s="30"/>
      <c r="F93" s="30"/>
      <c r="G93" s="30"/>
      <c r="H93" s="30"/>
      <c r="I93" s="30"/>
      <c r="J93" s="30"/>
      <c r="K93" s="32"/>
      <c r="L93" s="31"/>
      <c r="N93" s="9"/>
    </row>
    <row r="94" spans="1:14" ht="20.100000000000001" customHeight="1" x14ac:dyDescent="0.25">
      <c r="A94" s="30"/>
      <c r="B94" s="30"/>
      <c r="C94" s="30"/>
      <c r="D94" s="30"/>
      <c r="E94" s="30"/>
      <c r="F94" s="30"/>
      <c r="G94" s="30"/>
      <c r="H94" s="30"/>
      <c r="I94" s="30"/>
      <c r="J94" s="30"/>
      <c r="K94" s="32"/>
      <c r="L94" s="31"/>
      <c r="N94" s="9"/>
    </row>
  </sheetData>
  <hyperlinks>
    <hyperlink ref="L17" r:id="rId1" tooltip="Buka Test Report Hari ke-16" xr:uid="{BD42E6F0-0B60-45D9-B99B-C9DD11DEC468}"/>
    <hyperlink ref="L16" r:id="rId2" tooltip="Buka Test Report Hari ke-15" xr:uid="{11A8F41E-E4E5-430F-9F2B-8BD09FD8F7CE}"/>
    <hyperlink ref="L15" r:id="rId3" tooltip="Buka Test Report Hari ke-14" xr:uid="{C725D666-E027-44F2-B567-C346C132C1D9}"/>
    <hyperlink ref="L14" r:id="rId4" tooltip="Buka Test Report Hari ke-13" xr:uid="{3A001112-5C26-4587-8BCC-E8FCD34D6A9F}"/>
    <hyperlink ref="L13" r:id="rId5" tooltip="Buka Test Report Hari ke-12" xr:uid="{FD224B33-4B08-4217-B720-D2F30208DCBD}"/>
    <hyperlink ref="L12" r:id="rId6" tooltip="Buka Test Report Hari ke-11" xr:uid="{BAF83D29-AC51-4A4F-82DC-BC193A3DCF07}"/>
    <hyperlink ref="L11" r:id="rId7" tooltip="Buka Test Report Hari ke-10" xr:uid="{2BD44A12-7692-489F-96E8-E4506F75D3B1}"/>
    <hyperlink ref="L10" r:id="rId8" tooltip="Buka Test Report Hari ke-9" xr:uid="{E4F4B050-791C-45CD-A6A6-5D0E6C0A2E0B}"/>
    <hyperlink ref="L9" r:id="rId9" tooltip="Buka Test Report Hari ke-8" xr:uid="{6499FB80-9B49-4627-BABE-192B4D457050}"/>
    <hyperlink ref="L8" r:id="rId10" tooltip="Buka Test Report Hari ke-7" xr:uid="{191D28AF-EFD9-4E20-9ED0-8872D3F96766}"/>
    <hyperlink ref="L7" r:id="rId11" tooltip="Buka Test Report Hari ke-6" xr:uid="{19505816-A4F9-47DA-AFCD-78B7152400CA}"/>
    <hyperlink ref="L6" r:id="rId12" tooltip="Buka Test Report Hari ke-5" xr:uid="{6A0E2F21-835F-43DB-B512-62E7FBB1E122}"/>
    <hyperlink ref="L5" r:id="rId13" tooltip="Buka Test Report Hari ke-4" xr:uid="{6957EB1E-1496-4891-8F2A-DE95A2AA11DE}"/>
    <hyperlink ref="L4" r:id="rId14" tooltip="Buka Test Report Hari ke-3" xr:uid="{1C280BE6-B2CC-4318-9821-8EE5ED7E07DD}"/>
    <hyperlink ref="L3" r:id="rId15" tooltip="Buka Test Report Hari ke-2" xr:uid="{D0CFFD3A-C575-407D-9CDA-342169B9967B}"/>
    <hyperlink ref="L2" r:id="rId16" tooltip="Buka Test Report Hari ke-1" xr:uid="{36718F09-ADC5-4447-91F8-69269E2BB629}"/>
  </hyperlinks>
  <pageMargins left="0.7" right="0.7" top="0.75" bottom="0.75" header="0.3" footer="0.3"/>
  <pageSetup orientation="portrait"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tabSelected="1" zoomScale="115" zoomScaleNormal="115" workbookViewId="0">
      <pane ySplit="1" topLeftCell="A2" activePane="bottomLeft" state="frozenSplit"/>
      <selection pane="bottomLeft" activeCell="B25" sqref="B25"/>
    </sheetView>
  </sheetViews>
  <sheetFormatPr defaultRowHeight="14.45" customHeight="1" x14ac:dyDescent="0.25"/>
  <cols>
    <col min="1" max="1" width="24.7109375" customWidth="1"/>
    <col min="2" max="2" width="12.7109375" customWidth="1"/>
    <col min="3" max="5" width="10.7109375" customWidth="1"/>
    <col min="6" max="6" width="14.7109375" customWidth="1"/>
  </cols>
  <sheetData>
    <row r="1" spans="1:6" ht="27.95" customHeight="1" x14ac:dyDescent="0.25">
      <c r="A1" s="29" t="s">
        <v>2</v>
      </c>
      <c r="B1" s="29" t="s">
        <v>929</v>
      </c>
      <c r="C1" s="29" t="s">
        <v>27</v>
      </c>
      <c r="D1" s="29" t="s">
        <v>284</v>
      </c>
      <c r="E1" s="29" t="s">
        <v>930</v>
      </c>
      <c r="F1" s="29" t="s">
        <v>987</v>
      </c>
    </row>
    <row r="2" spans="1:6" ht="21.95" customHeight="1" x14ac:dyDescent="0.25">
      <c r="A2" s="76" t="s">
        <v>19</v>
      </c>
      <c r="B2" s="60">
        <f>COUNTIF(MASTER_TC!C:C,A2)</f>
        <v>14</v>
      </c>
      <c r="C2" s="60">
        <f>COUNTIFS(MASTER_TC!C:C,A2,MASTER_TC!K:K,"PASS")</f>
        <v>14</v>
      </c>
      <c r="D2" s="60">
        <f>COUNTIFS(MASTER_TC!C:C,A2,MASTER_TC!K:K,"FAIL")</f>
        <v>0</v>
      </c>
      <c r="E2" s="60">
        <f>COUNTIFS(MASTER_TC!C:C,A2,MASTER_TC!K:K,"BLOCKED")</f>
        <v>0</v>
      </c>
      <c r="F2" s="77">
        <f t="shared" ref="F2:F15" si="0">IF(B2=0,0,C2/B2)</f>
        <v>1</v>
      </c>
    </row>
    <row r="3" spans="1:6" ht="21.95" customHeight="1" x14ac:dyDescent="0.25">
      <c r="A3" s="78" t="s">
        <v>988</v>
      </c>
      <c r="B3" s="63">
        <f>COUNTIF(MASTER_TC!C:C,A3)</f>
        <v>0</v>
      </c>
      <c r="C3" s="63">
        <f>COUNTIFS(MASTER_TC!C:C,A3,MASTER_TC!K:K,"PASS")</f>
        <v>0</v>
      </c>
      <c r="D3" s="63">
        <f>COUNTIFS(MASTER_TC!C:C,A3,MASTER_TC!K:K,"FAIL")</f>
        <v>0</v>
      </c>
      <c r="E3" s="63">
        <f>COUNTIFS(MASTER_TC!C:C,A3,MASTER_TC!K:K,"BLOCKED")</f>
        <v>0</v>
      </c>
      <c r="F3" s="79">
        <f t="shared" si="0"/>
        <v>0</v>
      </c>
    </row>
    <row r="4" spans="1:6" ht="21.95" customHeight="1" x14ac:dyDescent="0.25">
      <c r="A4" s="76" t="s">
        <v>989</v>
      </c>
      <c r="B4" s="60">
        <f>COUNTIF(MASTER_TC!C:C,A4)</f>
        <v>0</v>
      </c>
      <c r="C4" s="60">
        <f>COUNTIFS(MASTER_TC!C:C,A4,MASTER_TC!K:K,"PASS")</f>
        <v>0</v>
      </c>
      <c r="D4" s="60">
        <f>COUNTIFS(MASTER_TC!C:C,A4,MASTER_TC!K:K,"FAIL")</f>
        <v>0</v>
      </c>
      <c r="E4" s="60">
        <f>COUNTIFS(MASTER_TC!C:C,A4,MASTER_TC!K:K,"BLOCKED")</f>
        <v>0</v>
      </c>
      <c r="F4" s="77">
        <f t="shared" si="0"/>
        <v>0</v>
      </c>
    </row>
    <row r="5" spans="1:6" ht="21.95" customHeight="1" x14ac:dyDescent="0.25">
      <c r="A5" s="78" t="s">
        <v>990</v>
      </c>
      <c r="B5" s="63">
        <f>COUNTIF(MASTER_TC!C:C,A5)</f>
        <v>0</v>
      </c>
      <c r="C5" s="63">
        <f>COUNTIFS(MASTER_TC!C:C,A5,MASTER_TC!K:K,"PASS")</f>
        <v>0</v>
      </c>
      <c r="D5" s="63">
        <f>COUNTIFS(MASTER_TC!C:C,A5,MASTER_TC!K:K,"FAIL")</f>
        <v>0</v>
      </c>
      <c r="E5" s="63">
        <f>COUNTIFS(MASTER_TC!C:C,A5,MASTER_TC!K:K,"BLOCKED")</f>
        <v>0</v>
      </c>
      <c r="F5" s="79">
        <f t="shared" si="0"/>
        <v>0</v>
      </c>
    </row>
    <row r="6" spans="1:6" ht="21.95" customHeight="1" x14ac:dyDescent="0.25">
      <c r="A6" s="76" t="s">
        <v>991</v>
      </c>
      <c r="B6" s="60">
        <f>COUNTIF(MASTER_TC!C:C,A6)</f>
        <v>0</v>
      </c>
      <c r="C6" s="60">
        <f>COUNTIFS(MASTER_TC!C:C,A6,MASTER_TC!K:K,"PASS")</f>
        <v>0</v>
      </c>
      <c r="D6" s="60">
        <f>COUNTIFS(MASTER_TC!C:C,A6,MASTER_TC!K:K,"FAIL")</f>
        <v>0</v>
      </c>
      <c r="E6" s="60">
        <f>COUNTIFS(MASTER_TC!C:C,A6,MASTER_TC!K:K,"BLOCKED")</f>
        <v>0</v>
      </c>
      <c r="F6" s="77">
        <f t="shared" si="0"/>
        <v>0</v>
      </c>
    </row>
    <row r="7" spans="1:6" ht="21.95" customHeight="1" x14ac:dyDescent="0.25">
      <c r="A7" s="78" t="s">
        <v>992</v>
      </c>
      <c r="B7" s="63">
        <f>COUNTIF(MASTER_TC!C:C,A7)</f>
        <v>0</v>
      </c>
      <c r="C7" s="63">
        <f>COUNTIFS(MASTER_TC!C:C,A7,MASTER_TC!K:K,"PASS")</f>
        <v>0</v>
      </c>
      <c r="D7" s="63">
        <f>COUNTIFS(MASTER_TC!C:C,A7,MASTER_TC!K:K,"FAIL")</f>
        <v>0</v>
      </c>
      <c r="E7" s="63">
        <f>COUNTIFS(MASTER_TC!C:C,A7,MASTER_TC!K:K,"BLOCKED")</f>
        <v>0</v>
      </c>
      <c r="F7" s="79">
        <f t="shared" si="0"/>
        <v>0</v>
      </c>
    </row>
    <row r="8" spans="1:6" ht="21.95" customHeight="1" x14ac:dyDescent="0.25">
      <c r="A8" s="76" t="s">
        <v>608</v>
      </c>
      <c r="B8" s="60">
        <f>COUNTIF(MASTER_TC!C:C,A8)</f>
        <v>1</v>
      </c>
      <c r="C8" s="60">
        <f>COUNTIFS(MASTER_TC!C:C,A8,MASTER_TC!K:K,"PASS")</f>
        <v>1</v>
      </c>
      <c r="D8" s="60">
        <f>COUNTIFS(MASTER_TC!C:C,A8,MASTER_TC!K:K,"FAIL")</f>
        <v>0</v>
      </c>
      <c r="E8" s="60">
        <f>COUNTIFS(MASTER_TC!C:C,A8,MASTER_TC!K:K,"BLOCKED")</f>
        <v>0</v>
      </c>
      <c r="F8" s="77">
        <f t="shared" si="0"/>
        <v>1</v>
      </c>
    </row>
    <row r="9" spans="1:6" ht="21.95" customHeight="1" x14ac:dyDescent="0.25">
      <c r="A9" s="78" t="s">
        <v>658</v>
      </c>
      <c r="B9" s="63">
        <f>COUNTIF(MASTER_TC!C:C,A9)</f>
        <v>7</v>
      </c>
      <c r="C9" s="63">
        <f>COUNTIFS(MASTER_TC!C:C,A9,MASTER_TC!K:K,"PASS")</f>
        <v>7</v>
      </c>
      <c r="D9" s="63">
        <f>COUNTIFS(MASTER_TC!C:C,A9,MASTER_TC!K:K,"FAIL")</f>
        <v>0</v>
      </c>
      <c r="E9" s="63">
        <f>COUNTIFS(MASTER_TC!C:C,A9,MASTER_TC!K:K,"BLOCKED")</f>
        <v>0</v>
      </c>
      <c r="F9" s="79">
        <f t="shared" si="0"/>
        <v>1</v>
      </c>
    </row>
    <row r="10" spans="1:6" ht="21.95" customHeight="1" x14ac:dyDescent="0.25">
      <c r="A10" s="76" t="s">
        <v>993</v>
      </c>
      <c r="B10" s="60">
        <f>COUNTIF(MASTER_TC!C:C,A10)</f>
        <v>0</v>
      </c>
      <c r="C10" s="60">
        <f>COUNTIFS(MASTER_TC!C:C,A10,MASTER_TC!K:K,"PASS")</f>
        <v>0</v>
      </c>
      <c r="D10" s="60">
        <f>COUNTIFS(MASTER_TC!C:C,A10,MASTER_TC!K:K,"FAIL")</f>
        <v>0</v>
      </c>
      <c r="E10" s="60">
        <f>COUNTIFS(MASTER_TC!C:C,A10,MASTER_TC!K:K,"BLOCKED")</f>
        <v>0</v>
      </c>
      <c r="F10" s="77">
        <f t="shared" si="0"/>
        <v>0</v>
      </c>
    </row>
    <row r="11" spans="1:6" ht="21.95" customHeight="1" x14ac:dyDescent="0.25">
      <c r="A11" s="78" t="s">
        <v>994</v>
      </c>
      <c r="B11" s="63">
        <f>COUNTIF(MASTER_TC!C:C,A11)</f>
        <v>0</v>
      </c>
      <c r="C11" s="63">
        <f>COUNTIFS(MASTER_TC!C:C,A11,MASTER_TC!K:K,"PASS")</f>
        <v>0</v>
      </c>
      <c r="D11" s="63">
        <f>COUNTIFS(MASTER_TC!C:C,A11,MASTER_TC!K:K,"FAIL")</f>
        <v>0</v>
      </c>
      <c r="E11" s="63">
        <f>COUNTIFS(MASTER_TC!C:C,A11,MASTER_TC!K:K,"BLOCKED")</f>
        <v>0</v>
      </c>
      <c r="F11" s="79">
        <f t="shared" si="0"/>
        <v>0</v>
      </c>
    </row>
    <row r="12" spans="1:6" ht="21.95" customHeight="1" x14ac:dyDescent="0.25">
      <c r="A12" s="76" t="s">
        <v>975</v>
      </c>
      <c r="B12" s="60">
        <f>COUNTIF(MASTER_TC!C:C,A12)</f>
        <v>0</v>
      </c>
      <c r="C12" s="60">
        <f>COUNTIFS(MASTER_TC!C:C,A12,MASTER_TC!K:K,"PASS")</f>
        <v>0</v>
      </c>
      <c r="D12" s="60">
        <f>COUNTIFS(MASTER_TC!C:C,A12,MASTER_TC!K:K,"FAIL")</f>
        <v>0</v>
      </c>
      <c r="E12" s="60">
        <f>COUNTIFS(MASTER_TC!C:C,A12,MASTER_TC!K:K,"BLOCKED")</f>
        <v>0</v>
      </c>
      <c r="F12" s="77">
        <f t="shared" si="0"/>
        <v>0</v>
      </c>
    </row>
    <row r="13" spans="1:6" ht="21.95" customHeight="1" x14ac:dyDescent="0.25">
      <c r="A13" s="78" t="s">
        <v>995</v>
      </c>
      <c r="B13" s="63">
        <f>COUNTIF(MASTER_TC!C:C,A13)</f>
        <v>0</v>
      </c>
      <c r="C13" s="63">
        <f>COUNTIFS(MASTER_TC!C:C,A13,MASTER_TC!K:K,"PASS")</f>
        <v>0</v>
      </c>
      <c r="D13" s="63">
        <f>COUNTIFS(MASTER_TC!C:C,A13,MASTER_TC!K:K,"FAIL")</f>
        <v>0</v>
      </c>
      <c r="E13" s="63">
        <f>COUNTIFS(MASTER_TC!C:C,A13,MASTER_TC!K:K,"BLOCKED")</f>
        <v>0</v>
      </c>
      <c r="F13" s="79">
        <f t="shared" si="0"/>
        <v>0</v>
      </c>
    </row>
    <row r="14" spans="1:6" ht="21.95" customHeight="1" x14ac:dyDescent="0.25">
      <c r="A14" s="76" t="s">
        <v>411</v>
      </c>
      <c r="B14" s="60">
        <f>COUNTIF(MASTER_TC!C:C,A14)</f>
        <v>20</v>
      </c>
      <c r="C14" s="60">
        <f>COUNTIFS(MASTER_TC!C:C,A14,MASTER_TC!K:K,"PASS")</f>
        <v>20</v>
      </c>
      <c r="D14" s="60">
        <f>COUNTIFS(MASTER_TC!C:C,A14,MASTER_TC!K:K,"FAIL")</f>
        <v>0</v>
      </c>
      <c r="E14" s="60">
        <f>COUNTIFS(MASTER_TC!C:C,A14,MASTER_TC!K:K,"BLOCKED")</f>
        <v>0</v>
      </c>
      <c r="F14" s="77">
        <f t="shared" si="0"/>
        <v>1</v>
      </c>
    </row>
    <row r="15" spans="1:6" ht="21.95" customHeight="1" x14ac:dyDescent="0.25">
      <c r="A15" s="80" t="s">
        <v>996</v>
      </c>
      <c r="B15" s="81">
        <f>SUM(B2:B14)</f>
        <v>42</v>
      </c>
      <c r="C15" s="81">
        <f>SUM(C2:C14)</f>
        <v>42</v>
      </c>
      <c r="D15" s="81">
        <f>SUM(D2:D14)</f>
        <v>0</v>
      </c>
      <c r="E15" s="81">
        <f>SUM(E2:E14)</f>
        <v>0</v>
      </c>
      <c r="F15" s="82">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MASTER_TC</vt:lpstr>
      <vt:lpstr>BUG_LIST_DZAKWAN</vt:lpstr>
      <vt:lpstr>BUG_REPORTS</vt:lpstr>
      <vt:lpstr>EXECUTION_LOG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2026-10-10T04:43:05Z</dcterms:created>
  <dcterms:modified xsi:type="dcterms:W3CDTF">2026-10-28T15:51:35Z</dcterms:modified>
</cp:coreProperties>
</file>
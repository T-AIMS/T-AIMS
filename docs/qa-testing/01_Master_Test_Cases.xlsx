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PENGUMPULAN_DRIVE_HARI-12\"/>
    </mc:Choice>
  </mc:AlternateContent>
  <xr:revisionPtr revIDLastSave="0" documentId="13_ncr:1_{E1F4E92F-C8F5-4D3A-B612-2E2C1BAC2576}" xr6:coauthVersionLast="47" xr6:coauthVersionMax="47" xr10:uidLastSave="{00000000-0000-0000-0000-000000000000}"/>
  <bookViews>
    <workbookView xWindow="0" yWindow="220" windowWidth="14400" windowHeight="7810" firstSheet="2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4" l="1"/>
  <c r="D14" i="4"/>
  <c r="C14" i="4"/>
  <c r="B14" i="4"/>
  <c r="E13" i="4"/>
  <c r="D13" i="4"/>
  <c r="C13" i="4"/>
  <c r="B13" i="4"/>
  <c r="F13" i="4" s="1"/>
  <c r="E12" i="4"/>
  <c r="D12" i="4"/>
  <c r="C12" i="4"/>
  <c r="B12" i="4"/>
  <c r="F12" i="4" s="1"/>
  <c r="E11" i="4"/>
  <c r="D11" i="4"/>
  <c r="C11" i="4"/>
  <c r="B11" i="4"/>
  <c r="F11" i="4" s="1"/>
  <c r="E10" i="4"/>
  <c r="D10" i="4"/>
  <c r="C10" i="4"/>
  <c r="B10" i="4"/>
  <c r="F10" i="4" s="1"/>
  <c r="E9" i="4"/>
  <c r="D9" i="4"/>
  <c r="C9" i="4"/>
  <c r="B9" i="4"/>
  <c r="F9" i="4" s="1"/>
  <c r="E8" i="4"/>
  <c r="D8" i="4"/>
  <c r="C8" i="4"/>
  <c r="B8" i="4"/>
  <c r="E7" i="4"/>
  <c r="D7" i="4"/>
  <c r="C7" i="4"/>
  <c r="B7" i="4"/>
  <c r="F7" i="4" s="1"/>
  <c r="E6" i="4"/>
  <c r="D6" i="4"/>
  <c r="C6" i="4"/>
  <c r="B6" i="4"/>
  <c r="F6" i="4" s="1"/>
  <c r="E5" i="4"/>
  <c r="D5" i="4"/>
  <c r="C5" i="4"/>
  <c r="B5" i="4"/>
  <c r="F5" i="4" s="1"/>
  <c r="E4" i="4"/>
  <c r="D4" i="4"/>
  <c r="C4" i="4"/>
  <c r="B4" i="4"/>
  <c r="F4" i="4" s="1"/>
  <c r="E3" i="4"/>
  <c r="D3" i="4"/>
  <c r="C3" i="4"/>
  <c r="B3" i="4"/>
  <c r="F3" i="4" s="1"/>
  <c r="E2" i="4"/>
  <c r="D2" i="4"/>
  <c r="C2" i="4"/>
  <c r="B2" i="4"/>
  <c r="E15" i="4" l="1"/>
  <c r="B15" i="4"/>
  <c r="C15" i="4"/>
  <c r="F2" i="4"/>
  <c r="D15" i="4"/>
  <c r="F8" i="4"/>
  <c r="F14" i="4"/>
  <c r="F15" i="4" l="1"/>
</calcChain>
</file>

<file path=xl/sharedStrings.xml><?xml version="1.0" encoding="utf-8"?>
<sst xmlns="http://schemas.openxmlformats.org/spreadsheetml/2006/main" count="1711" uniqueCount="858">
  <si>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</si>
  <si>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</si>
  <si>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</si>
  <si>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</si>
  <si>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</si>
  <si>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</si>
  <si>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</si>
  <si>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</si>
  <si>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</si>
  <si>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</si>
  <si>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</si>
  <si>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</si>
  <si>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</si>
  <si>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</si>
  <si>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</si>
  <si>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</si>
  <si>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</si>
  <si>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</si>
  <si>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</si>
  <si>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</si>
  <si>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</si>
  <si>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</si>
  <si>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</si>
  <si>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</si>
  <si>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</si>
  <si>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</si>
  <si>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</si>
  <si>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</si>
  <si>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</si>
  <si>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</si>
  <si>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</si>
  <si>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</si>
  <si>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</si>
  <si>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</si>
  <si>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</si>
  <si>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</si>
  <si>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</si>
  <si>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</si>
  <si>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</si>
  <si>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</si>
  <si>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</si>
  <si>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</si>
  <si>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</si>
  <si>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</si>
  <si>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</si>
  <si>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</si>
  <si>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</si>
  <si>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</si>
  <si>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</si>
  <si>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</si>
  <si>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</si>
  <si>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</si>
  <si>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</si>
  <si>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</si>
  <si>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</si>
  <si>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</si>
  <si>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</si>
  <si>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</si>
  <si>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</si>
  <si>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</si>
  <si>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</si>
  <si>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</si>
  <si>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</si>
  <si>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</si>
  <si>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</si>
  <si>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</si>
  <si>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</si>
  <si>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</si>
  <si>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</si>
  <si>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</si>
  <si>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</si>
  <si>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</si>
  <si>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</si>
  <si>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</si>
  <si>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</si>
  <si>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</si>
  <si>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</si>
  <si>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</si>
  <si>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</si>
  <si>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</si>
  <si>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</si>
  <si>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</si>
  <si>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</si>
  <si>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</si>
  <si>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</si>
  <si>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</si>
  <si>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</si>
  <si>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</si>
  <si>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</si>
  <si>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</si>
  <si>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</si>
  <si>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</si>
  <si>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</si>
  <si>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</si>
  <si>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</si>
  <si>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</si>
  <si>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</si>
  <si>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</si>
  <si>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</si>
  <si>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</si>
  <si>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18/10/2026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</si>
  <si>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</si>
  <si>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</si>
  <si>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</si>
  <si>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</si>
  <si>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</si>
  <si>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</si>
  <si>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</si>
  <si>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</si>
  <si>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</si>
  <si>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</si>
  <si>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</si>
  <si>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</si>
  <si>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</si>
  <si>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</si>
  <si>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</si>
  <si>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</si>
  <si>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</si>
  <si>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</si>
  <si>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</si>
  <si>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</si>
  <si>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</si>
  <si>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</si>
  <si>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</si>
  <si>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</si>
  <si>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</si>
  <si>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</si>
  <si>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</si>
  <si>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</si>
  <si>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</si>
  <si>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</si>
  <si>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</si>
  <si>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</si>
  <si>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</si>
  <si>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</si>
  <si>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</si>
  <si>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</si>
  <si>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</si>
  <si>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</si>
  <si>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</si>
  <si>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</si>
  <si>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</si>
  <si>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</si>
  <si>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</si>
  <si>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</si>
  <si>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</si>
  <si>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</si>
  <si>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</si>
  <si>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</si>
  <si>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</si>
  <si>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</si>
  <si>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</si>
  <si>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</si>
  <si>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</si>
  <si>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</si>
  <si>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</si>
  <si>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</si>
  <si>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</si>
  <si>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</si>
  <si>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</si>
  <si>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</si>
  <si>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</si>
  <si>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</si>
  <si>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</si>
  <si>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</si>
  <si>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</si>
  <si>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</si>
  <si>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</si>
  <si>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</si>
  <si>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</si>
  <si>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</si>
  <si>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</si>
  <si>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</si>
  <si>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</si>
  <si>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</si>
  <si>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</si>
  <si>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</si>
  <si>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</si>
  <si>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</si>
  <si>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</si>
  <si>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</si>
  <si>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</si>
  <si>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TC-ASSET-010</t>
  </si>
  <si>
    <t>Filter by category Router</t>
  </si>
  <si>
    <t>200, hanya Router yang tampil</t>
  </si>
  <si>
    <t>TC-ASSET-011</t>
  </si>
  <si>
    <t>Filter by category IoT Node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</si>
  <si>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</si>
  <si>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</si>
  <si>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</si>
  <si>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</si>
  <si>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</si>
  <si>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</si>
  <si>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</si>
  <si>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</si>
  <si>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</si>
  <si>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</si>
  <si>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</si>
  <si>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</si>
  <si>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</si>
  <si>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</si>
  <si>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</si>
  <si>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</si>
  <si>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</si>
  <si>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</si>
  <si>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TC-INC-004</t>
  </si>
  <si>
    <t>RPi terpasang adaptor</t>
  </si>
  <si>
    <t>TC-INC-005</t>
  </si>
  <si>
    <t>ESP32 terpasang USB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</si>
  <si>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</si>
  <si>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</si>
  <si>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</si>
  <si>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</si>
  <si>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</si>
  <si>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</si>
  <si>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</si>
  <si>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</si>
  <si>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</si>
  <si>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</si>
  <si>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</si>
  <si>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</si>
  <si>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</si>
  <si>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</si>
  <si>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</si>
  <si>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TC-INC-012</t>
  </si>
  <si>
    <t>Cooldown 5 menit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</si>
  <si>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</si>
  <si>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</si>
  <si>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</si>
  <si>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</si>
  <si>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</si>
  <si>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</si>
  <si>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</si>
  <si>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</si>
  <si>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</si>
  <si>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</si>
  <si>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</si>
  <si>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</si>
  <si>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</si>
  <si>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</si>
  <si>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</si>
  <si>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</si>
  <si>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</si>
  <si>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</si>
  <si>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</si>
  <si>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</si>
  <si>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</si>
  <si>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</si>
  <si>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</si>
  <si>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</si>
  <si>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</si>
  <si>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</si>
  <si>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</si>
  <si>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</si>
  <si>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</si>
  <si>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</si>
  <si>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</si>
  <si>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</si>
  <si>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</si>
  <si>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</si>
  <si>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</si>
  <si>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</si>
  <si>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</si>
  <si>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</si>
  <si>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</si>
  <si>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</si>
  <si>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</si>
  <si>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</si>
  <si>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</si>
  <si>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</si>
  <si>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</si>
  <si>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</si>
  <si>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</si>
  <si>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</si>
  <si>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</si>
  <si>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</si>
  <si>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</si>
  <si>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</si>
  <si>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</si>
  <si>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</si>
  <si>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</si>
  <si>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</si>
  <si>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</si>
  <si>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</si>
  <si>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</si>
  <si>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</si>
  <si>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</si>
  <si>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</si>
  <si>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</si>
  <si>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</si>
  <si>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</si>
  <si>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</si>
  <si>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</si>
  <si>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</si>
  <si>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</si>
  <si>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</si>
  <si>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</si>
  <si>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</si>
  <si>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</si>
  <si>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</si>
  <si>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</si>
  <si>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</si>
  <si>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</si>
  <si>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</si>
  <si>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</si>
  <si>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</si>
  <si>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</si>
  <si>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</si>
  <si>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</si>
  <si>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</si>
  <si>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</si>
  <si>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</si>
  <si>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</si>
  <si>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</si>
  <si>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</si>
  <si>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</si>
  <si>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</si>
  <si>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</si>
  <si>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</si>
  <si>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</si>
  <si>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</si>
  <si>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</si>
  <si>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</si>
  <si>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</si>
  <si>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</si>
  <si>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</si>
  <si>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</si>
  <si>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</si>
  <si>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</si>
  <si>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</si>
  <si>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</si>
  <si>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</si>
  <si>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</si>
  <si>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</si>
  <si>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</si>
  <si>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</si>
  <si>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</si>
  <si>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</si>
  <si>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</si>
  <si>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</si>
  <si>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</si>
  <si>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</si>
  <si>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</si>
  <si>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</si>
  <si>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</si>
  <si>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</si>
  <si>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</si>
  <si>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</si>
  <si>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</si>
  <si>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</si>
  <si>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</si>
  <si>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</si>
  <si>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</si>
  <si>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</si>
  <si>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</si>
  <si>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</si>
  <si>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</si>
  <si>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</si>
  <si>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</si>
  <si>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</si>
  <si>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</si>
  <si>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</si>
  <si>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</si>
  <si>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</si>
  <si>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</si>
  <si>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</si>
  <si>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</si>
  <si>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</si>
  <si>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</si>
  <si>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</si>
  <si>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</si>
  <si>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</si>
  <si>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</si>
  <si>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</si>
  <si>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</si>
  <si>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</si>
  <si>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</si>
  <si>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</si>
  <si>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</si>
  <si>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</si>
  <si>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</si>
  <si>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</si>
  <si>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</si>
  <si>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</si>
  <si>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</si>
  <si>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</si>
  <si>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</si>
  <si>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</si>
  <si>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</si>
  <si>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</si>
  <si>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</si>
  <si>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</si>
  <si>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</si>
  <si>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</si>
  <si>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</si>
  <si>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</si>
  <si>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</si>
  <si>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</si>
  <si>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</si>
  <si>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</si>
  <si>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</si>
  <si>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</si>
  <si>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</si>
  <si>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</si>
  <si>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</si>
  <si>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</si>
  <si>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</si>
  <si>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</si>
  <si>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</si>
  <si>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</si>
  <si>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</si>
  <si>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</si>
  <si>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</si>
  <si>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</si>
  <si>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</si>
  <si>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</si>
  <si>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</si>
  <si>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</si>
  <si>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</si>
  <si>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</si>
  <si>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</si>
  <si>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</si>
  <si>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</si>
  <si>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</si>
  <si>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</si>
  <si>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</si>
  <si>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</si>
  <si>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</si>
  <si>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Test di Postman, backend jalan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</si>
  <si>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</si>
  <si>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</si>
  <si>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</si>
  <si>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</si>
  <si>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</si>
  <si>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</si>
  <si>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</si>
  <si>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</si>
  <si>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</si>
  <si>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</si>
  <si>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</si>
  <si>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</si>
  <si>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</si>
  <si>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</si>
  <si>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</si>
  <si>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</si>
  <si>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</si>
  <si>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</si>
  <si>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</si>
  <si>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</si>
  <si>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</si>
  <si>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</si>
  <si>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</si>
  <si>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</si>
  <si>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</si>
  <si>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</si>
  <si>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</si>
  <si>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</si>
  <si>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</si>
  <si>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</si>
  <si>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</si>
  <si>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</si>
  <si>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</si>
  <si>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</si>
  <si>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</si>
  <si>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</si>
  <si>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</si>
  <si>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</si>
  <si>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</si>
  <si>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</si>
  <si>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</si>
  <si>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</si>
  <si>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</si>
  <si>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</si>
  <si>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</si>
  <si>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</si>
  <si>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</si>
  <si>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</si>
  <si>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</si>
  <si>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</si>
  <si>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</si>
  <si>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</si>
  <si>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</si>
  <si>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</si>
  <si>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200 OK, total 20 log aktivitas 
tampil</t>
  </si>
  <si>
    <t>200 OK, total device 17, 
online 6, offline 0, unknown 11</t>
  </si>
  <si>
    <t>API Dashboard berjalan normal</t>
  </si>
  <si>
    <t>BUG-006</t>
  </si>
  <si>
    <t>Domain email DEFAULT_AUTH salah (@taims.local bukan @taims_db.local) 401 fallback</t>
  </si>
  <si>
    <t>BUG-007</t>
  </si>
  <si>
    <t>BUG-008</t>
  </si>
  <si>
    <t>BUG-009</t>
  </si>
  <si>
    <t>Modal detail perangkat memaksa kelas CSS offline untuk status unknown/warning</t>
  </si>
  <si>
    <t>Low</t>
  </si>
  <si>
    <t>BUG-010</t>
  </si>
  <si>
    <t>Kontras warna redup (--text-dim: #64748B) dan font mikroskopis (8.5px - 9.5px)</t>
  </si>
  <si>
    <t>1. Download ZIP 2. Extract pakai 7-Zip</t>
  </si>
  <si>
    <t>ZIP extract sukses</t>
  </si>
  <si>
    <t>Headers error corrupt</t>
  </si>
  <si>
    <t>Pengujian UI tertunda</t>
  </si>
  <si>
    <t>screenshots/BUG-005.png</t>
  </si>
  <si>
    <t>Domain email DEFAULT_AUTH salah 401 Unauthorized</t>
  </si>
  <si>
    <t>1. Buka dashboard 2. Cek response login di console</t>
  </si>
  <si>
    <t>200 OK JWT Token</t>
  </si>
  <si>
    <t>Data online 0 &amp; fallback</t>
  </si>
  <si>
    <t>screenshots/Hari-7/2026-10-19_Hari-7_modul_dashboard-utama.png</t>
  </si>
  <si>
    <t>Angka dan persentase Donut Chart bertabrakan ('212.5%')</t>
  </si>
  <si>
    <t>1. Buka dashboard 2. Lihat legenda Donut Chart</t>
  </si>
  <si>
    <t>Angka dan persen terpisah</t>
  </si>
  <si>
    <t>Teks menempel 212.5%</t>
  </si>
  <si>
    <t>Klien salah paham data</t>
  </si>
  <si>
    <t>screenshots/Hari-8/2026-10-20_Hari-8_wireframe_donut-chart-clean.png</t>
  </si>
  <si>
    <t>Sub-label Uptime statis selalu hijau 'Operasional Stabil'</t>
  </si>
  <si>
    <t>1. Buka dashboard 2. Amati kartu uptime 35%</t>
  </si>
  <si>
    <t>Status berubah kuning/merah</t>
  </si>
  <si>
    <t>Tetap hijau stabil</t>
  </si>
  <si>
    <t>Telemetri menyesatkan</t>
  </si>
  <si>
    <t>screenshots/Hari-8/2026-10-20_Hari-8_wireframe_desktop-dashboard-1080p.png</t>
  </si>
  <si>
    <t>Modal detail salah warna badge offline untuk unknown</t>
  </si>
  <si>
    <t>P3</t>
  </si>
  <si>
    <t>1. Buka devices.html 2. Klik detail aset unknown</t>
  </si>
  <si>
    <t>Badge kuning warning</t>
  </si>
  <si>
    <t>Badge merah offline</t>
  </si>
  <si>
    <t>Visual status tidak konsisten</t>
  </si>
  <si>
    <t>screenshots/Hari-8/2026-10-20_Hari-8_wireframe_modal-detail-spec.png</t>
  </si>
  <si>
    <t>Kontras rendah &amp; font mikroskopis (8.5px - 9.5px)</t>
  </si>
  <si>
    <t>1. Buka dashboard di monitor standar 2. Baca sublabel</t>
  </si>
  <si>
    <t>Teks terbaca jelas (WCAG AA)</t>
  </si>
  <si>
    <t>Teks buram &amp; sangat kecil</t>
  </si>
  <si>
    <t>Mata lelah &amp; sulit dibaca</t>
  </si>
  <si>
    <t>screenshots/Hari-8/2026-10-20_Hari-8_wireframe_settings-permanen.png</t>
  </si>
  <si>
    <t>TC-WF-001</t>
  </si>
  <si>
    <t>UI/Wireframe</t>
  </si>
  <si>
    <t>Grid SCADA &amp; KPI Cards Layout Desktop</t>
  </si>
  <si>
    <t>Frontend running, backend 3000</t>
  </si>
  <si>
    <t>1. Buka dashboard.html 2. Amati grid 6 KPI &amp; layout 1920x1080</t>
  </si>
  <si>
    <t>Grid proporsional, responsive canvas, 17 aset</t>
  </si>
  <si>
    <t>Grid 6 KPI sejajar rapi, data riil 17 aset tampil presisi</t>
  </si>
  <si>
    <t>Wireframe 1080p verified</t>
  </si>
  <si>
    <t>TC-WF-002</t>
  </si>
  <si>
    <t>Responsive Tablet View (768x1024)</t>
  </si>
  <si>
    <t>Viewport 768px</t>
  </si>
  <si>
    <t>1. Resize viewport ke 768px 2. Amati susunan kartu</t>
  </si>
  <si>
    <t>Kartu menyesuaikan 2 kolom, tanpa horizontal overflow</t>
  </si>
  <si>
    <t>2 kolom responsif, elemen scada rapi</t>
  </si>
  <si>
    <t>Tablet breakpoint verified</t>
  </si>
  <si>
    <t>TC-WF-003</t>
  </si>
  <si>
    <t>Responsive Mobile View (375x812) &amp; Drawer Nav</t>
  </si>
  <si>
    <t>Viewport 375px</t>
  </si>
  <si>
    <t>1. Buka di layar 375px 2. Klik tombol hamburger</t>
  </si>
  <si>
    <t>Menu berubah drawer geser, backdrop blur</t>
  </si>
  <si>
    <t>Hamburger button aktif, sliding drawer navigasi mulus</t>
  </si>
  <si>
    <t>Mobile drawer verified</t>
  </si>
  <si>
    <t>TC-WF-004</t>
  </si>
  <si>
    <t>Matriks Otorisasi RBAC Multi-Role</t>
  </si>
  <si>
    <t>Login super_admin, admin, guest</t>
  </si>
  <si>
    <t>1. Uji tiap role 2. Cek tombol CRUD dan form input</t>
  </si>
  <si>
    <t>Super admin full CRUD, Admin add/delete, Tamu read-only</t>
  </si>
  <si>
    <t>Tombol CRUD tersembunyi untuk mode tamu, form terkunci</t>
  </si>
  <si>
    <t>RBAC visual restrictions verified</t>
  </si>
  <si>
    <t>TC-WF-005</t>
  </si>
  <si>
    <t>Donut Chart Kategori &amp; Legend Spacing</t>
  </si>
  <si>
    <t>10 kategori di database</t>
  </si>
  <si>
    <t>1. Cek legenda Donut Chart 2. Periksa spasi angka &amp; persen</t>
  </si>
  <si>
    <t>Angka dan persentase terpisah rapi dengan badge cyan</t>
  </si>
  <si>
    <t>Terpisah 8px, badge cyan, auto-scroll aman</t>
  </si>
  <si>
    <t>Donut collision fix verified</t>
  </si>
  <si>
    <t>TC-WF-006</t>
  </si>
  <si>
    <t>Modal Detail Spesifikasi &amp; Status Badge</t>
  </si>
  <si>
    <t>Klik detail perangkat unknown</t>
  </si>
  <si>
    <t>1. Klik detail baris aset 2. Cek status badge modal</t>
  </si>
  <si>
    <t>Modal popup tengah layar, badge unknown amber</t>
  </si>
  <si>
    <t>Telemetri lengkap, status badge amber untuk unknown</t>
  </si>
  <si>
    <t>Modal detail verified</t>
  </si>
  <si>
    <t>TC-WF-007</t>
  </si>
  <si>
    <t>Persistensi Pengaturan Sistem ke LocalStorage</t>
  </si>
  <si>
    <t>Ubah interval &amp; suhu</t>
  </si>
  <si>
    <t>1. Ubah setting 2. Simpan 3. Refresh halaman</t>
  </si>
  <si>
    <t>Konfigurasi tersimpan permanen</t>
  </si>
  <si>
    <t>Konfigurasi tersimpan di LocalStorage, banner aktif</t>
  </si>
  <si>
    <t>Settings persistence verified</t>
  </si>
  <si>
    <t>Resolusi domain auto-login &amp; bug UI frontend</t>
  </si>
  <si>
    <t>test-reports/2026-10-19_Hari-7.md</t>
  </si>
  <si>
    <t>Pengujian UI Wireframe, Responsivitas &amp; RBAC</t>
  </si>
  <si>
    <t>test-reports/2026-10-20_Hari-8.md</t>
  </si>
  <si>
    <t>GET /auth/me 500 - Unknown column 'created_at'</t>
  </si>
  <si>
    <t>GET /users 500 - Unknown column 'created_at'</t>
  </si>
  <si>
    <t>Severity: Critical (sistem mati) | High (fitur utama error) | Medium (fitur minor) | Low (kosmetik)</t>
  </si>
  <si>
    <t>Status: Open | Fixing | Testing | Closed | Verified</t>
  </si>
  <si>
    <t>TOTAL</t>
  </si>
  <si>
    <t>BUKTI SCREENSHOT</t>
  </si>
  <si>
    <t>2026-10-14_retest_BUG-001_pass.png</t>
  </si>
  <si>
    <t>2026-10-16_retest_BUG-002_pass.png</t>
  </si>
  <si>
    <t>2026-10-15_BUG-003_me-500.png</t>
  </si>
  <si>
    <t>2026-10-16_retest_BUG-004_pass.png</t>
  </si>
  <si>
    <t>2026-10-19_Hari-7_modul_portal-login.png</t>
  </si>
  <si>
    <t>2026-10-19_Hari-7_modul_dashboard-utama.png</t>
  </si>
  <si>
    <t>2026-10-19_Hari-7_modul_modal-detail-perangkat.png</t>
  </si>
  <si>
    <t>Bukti Screenshot</t>
  </si>
  <si>
    <t>2026-10-20_Hari-8_wireframe_donut-chart-clean.png</t>
  </si>
  <si>
    <t>2026-10-20_Hari-8_wireframe_modal-detail-spec.png</t>
  </si>
  <si>
    <t>2026-10-20_Hari-8_wireframe_desktop-dashboard-1080p.png</t>
  </si>
  <si>
    <t>2026-10-20_Hari-8_wireframe_tablet-view-768p.png</t>
  </si>
  <si>
    <t>2026-10-20_Hari-8_wireframe_mobile-view-375p.png</t>
  </si>
  <si>
    <t>2026-10-20_Hari-8_wireframe_rbac_super-admin.png</t>
  </si>
  <si>
    <t>2026-10-20_Hari-8_wireframe_settings-permanen.png</t>
  </si>
  <si>
    <t>2026-10-18_BUG-005_zip-corrupt.png</t>
  </si>
  <si>
    <t>Resolved setelah file 
revised dikirim</t>
  </si>
  <si>
    <t>Fixed domain 
@taims_db.local</t>
  </si>
  <si>
    <t>Fixed threshold 
dinamis di app.js</t>
  </si>
  <si>
    <t>Fixed flex gap 8px &amp; badge 
pill</t>
  </si>
  <si>
    <t>Fixed class warning di 
openDetailModal</t>
  </si>
  <si>
    <t>Fixed text-dim #94A3B8 
&amp; font 11-12px</t>
  </si>
  <si>
    <t xml:space="preserve">Dika </t>
  </si>
  <si>
    <t>Angka dan persentase Donut Chart bertabrakan tanpa spasi ("212.5%")</t>
  </si>
  <si>
    <t>Sub-label Uptime statis selalu hijau "Operasional Stabil"</t>
  </si>
  <si>
    <t>200, category Access Point, 
monitoring_method Ping/SNMP</t>
  </si>
  <si>
    <t>200, category Service, monitoring_
method TCP, port 1883</t>
  </si>
  <si>
    <t>200, category PC, monitoring_
method Ping</t>
  </si>
  <si>
    <t>200, hanya IoT Node (ESP32, RPi) 
tampil</t>
  </si>
  <si>
    <t>200, mqtt_topic = taims/heartbeat
/IOT-ESP-01</t>
  </si>
  <si>
    <t>Status offline, incident type 
"Connection Loss", severity high</t>
  </si>
  <si>
    <t>Recovery alert terkirim setelah 
status online</t>
  </si>
  <si>
    <t>Hanya 1 alert offline + 1 alert 
recovery</t>
  </si>
  <si>
    <t>Status offline, LWT MQTT trigger 
offline</t>
  </si>
  <si>
    <t>TC-WF-008</t>
  </si>
  <si>
    <t>Audit Eksekutif Dashboard (1080p Desktop)</t>
  </si>
  <si>
    <t>Visual &amp; Layout</t>
  </si>
  <si>
    <t>Buka dashboard.html / index.html</t>
  </si>
  <si>
    <t>1. Render pada 1920x1080
2. Verifikasi 6 KPI cards, topbar, sidebar, live clock</t>
  </si>
  <si>
    <t>6 KPI sejajar rapi, live clock berjalan, cyber dark theme konsisten</t>
  </si>
  <si>
    <t>6 KPI rapi, data 15 aset presisi, live clock WIB sinkron</t>
  </si>
  <si>
    <t>2026-10-20_Hari-9_dashboard_desktop-1080p.png</t>
  </si>
  <si>
    <t>docs(qa): complete day 9 dashboard audit</t>
  </si>
  <si>
    <t>Visual Lead QA audit pass</t>
  </si>
  <si>
    <t>TC-WF-009</t>
  </si>
  <si>
    <t>Audit Inventaris Tabel Perangkat (Devices Table)</t>
  </si>
  <si>
    <t>Fungsional</t>
  </si>
  <si>
    <t>Navigasi ke #page-devices</t>
  </si>
  <si>
    <t>1. Filter kategori aset
2. Sort status &amp; IP</t>
  </si>
  <si>
    <t>Filter responsif, pagination stabil, badge status akurat</t>
  </si>
  <si>
    <t>15 perangkat tampil presisi, badge offline/online jelas</t>
  </si>
  <si>
    <t>2026-10-20_Hari-9_dashboard_devices-table.png</t>
  </si>
  <si>
    <t>Filter &amp; sorting verified</t>
  </si>
  <si>
    <t>TC-WF-010</t>
  </si>
  <si>
    <t>Audit Telemetri Monitoring Jaringan Realtime</t>
  </si>
  <si>
    <t>Navigasi ke #page-monitoring</t>
  </si>
  <si>
    <t>1. Periksa interval update 5 detik
2. Log telemetri</t>
  </si>
  <si>
    <t>Latensi &amp; response time terupdate, grafik chart reflow mulus</t>
  </si>
  <si>
    <t>Live telemetri bergerak tiap 5 detik, status sinkron</t>
  </si>
  <si>
    <t>2026-10-20_Hari-9_dashboard_monitoring-live.png</t>
  </si>
  <si>
    <t>Polling interval verified</t>
  </si>
  <si>
    <t>TC-WF-011</t>
  </si>
  <si>
    <t>Audit Peta GIS Leaflet &amp; Denah Lokasi</t>
  </si>
  <si>
    <t>Visual &amp; GIS</t>
  </si>
  <si>
    <t>Navigasi ke #page-location</t>
  </si>
  <si>
    <t>1. Zoom in/out peta
2. Klik marker kantor Blitar</t>
  </si>
  <si>
    <t>Peta render tanpa glitch abu-abu, popup marker detail muncul</t>
  </si>
  <si>
    <t>3 titik lokasi (HO, MO, Server) terpetakan presisi di Blitar</t>
  </si>
  <si>
    <t>2026-10-20_Hari-9_dashboard_location-gis.png</t>
  </si>
  <si>
    <t>Leaflet resize verified</t>
  </si>
  <si>
    <t>TC-WF-012</t>
  </si>
  <si>
    <t>Audit Manajemen Tiket Gangguan &amp; Alerts</t>
  </si>
  <si>
    <t>Navigasi ke #page-alerts</t>
  </si>
  <si>
    <t>1. Buka tabel tiket
2. Verifikasi severity level</t>
  </si>
  <si>
    <t>Insiden offline tercatat, badge status warning/kritis distinguishable</t>
  </si>
  <si>
    <t>Daftar peringatan tersusun kronologis, notifikasi jelas</t>
  </si>
  <si>
    <t>2026-10-20_Hari-9_dashboard_alerts-incidents.png</t>
  </si>
  <si>
    <t>Alerts tracking verified</t>
  </si>
  <si>
    <t>TC-WF-013</t>
  </si>
  <si>
    <t>Audit Hak Akses Pengguna (User Management RBAC)</t>
  </si>
  <si>
    <t>Keamanan &amp; RBAC</t>
  </si>
  <si>
    <t>Navigasi ke #page-users</t>
  </si>
  <si>
    <t>1. Cek daftar user 3 role
2. Uji kontrol simpan</t>
  </si>
  <si>
    <t>Matriks role superadmin, admin, user terpetakan aman</t>
  </si>
  <si>
    <t>Kontrol CRUD terisolasi sesuai hak akses, profil aktif</t>
  </si>
  <si>
    <t>2026-10-20_Hari-9_dashboard_users-management.png</t>
  </si>
  <si>
    <t>RBAC matrix verified</t>
  </si>
  <si>
    <t>TC-WF-014</t>
  </si>
  <si>
    <t>Audit Responsivitas Tablet View (768x1024)</t>
  </si>
  <si>
    <t>Responsivitas</t>
  </si>
  <si>
    <t>Resize viewport ke 768px</t>
  </si>
  <si>
    <t>1. Periksa grid KPI
2. Uji collapse sidebar</t>
  </si>
  <si>
    <t>2 kolom KPI, sidebar auto-collapse, no horizontal scroll</t>
  </si>
  <si>
    <t>Reflow bersih, tidak ada teks terpotong, sentuhan responsif</t>
  </si>
  <si>
    <t>2026-10-20_Hari-9_dashboard_tablet-768p.png</t>
  </si>
  <si>
    <t>Tablet responsive verified</t>
  </si>
  <si>
    <t>TC-WF-015</t>
  </si>
  <si>
    <t>Audit Responsivitas Mobile View (375x812)</t>
  </si>
  <si>
    <t>Resize viewport ke 375px</t>
  </si>
  <si>
    <t>1. Uji hamburger drawer menu
2. Uji touch target 44px</t>
  </si>
  <si>
    <t>Drawer geser mulus, 1 kolom KPI, font tetap terbaca</t>
  </si>
  <si>
    <t>Navigasi drawer lancar, font &gt;= 12px, zero overflow</t>
  </si>
  <si>
    <t>2026-10-20_Hari-9_dashboard_mobile-375p.png</t>
  </si>
  <si>
    <t>Mobile responsive verified</t>
  </si>
  <si>
    <t>BUG-011</t>
  </si>
  <si>
    <t>Inkonsistensi Nilai Kalkulasi SLA Antara Kartu AI dan Ringkasan Bulanan</t>
  </si>
  <si>
    <t>Reports</t>
  </si>
  <si>
    <t>Staging/Web</t>
  </si>
  <si>
    <t>build-20261021</t>
  </si>
  <si>
    <t>1. Buka modul Laporan (#page-reports)
2. Bandingkan kartu SLA atas vs bawah</t>
  </si>
  <si>
    <t>Nilai SLA konsisten dari database monitoring_logs</t>
  </si>
  <si>
    <t>Kartu AI 0.0%, sedangkan Ringkasan 30 Hari tertulis 99.3%</t>
  </si>
  <si>
    <t>2026-10-21_Hari-10_final-dashboard_reports-export.png</t>
  </si>
  <si>
    <t>Membingungkan stakeholder dan laporan performa sistem</t>
  </si>
  <si>
    <t>BUG-012</t>
  </si>
  <si>
    <t>Duplikasi Alamat IP pada Registri Aset Jaringan (IP Conflict)</t>
  </si>
  <si>
    <t>Devices</t>
  </si>
  <si>
    <t>1. Buka modul Inventaris Perangkat (#page-devices)
2. Periksa kolom IP Address</t>
  </si>
  <si>
    <t>Setiap perangkat memiliki alamat IP unik</t>
  </si>
  <si>
    <t>192.168.1.1 dipakai 2 router, 192.168.1.2 dipakai PC &amp; Mikrotik</t>
  </si>
  <si>
    <t>2026-10-21_Hari-10_final-dashboard_devices-management.png</t>
  </si>
  <si>
    <t>Monitoring engine tidak dapat membedakan status device saat ping</t>
  </si>
  <si>
    <t>BUG-013</t>
  </si>
  <si>
    <t>Selisih Jumlah Unit Total Donut Chart vs Rincian Legenda</t>
  </si>
  <si>
    <t>1. Buka dashboard utama (#page-dashboard)
2. Hitung total unit di rincian legenda</t>
  </si>
  <si>
    <t>Total legenda sama dengan label tengah (15 unit)</t>
  </si>
  <si>
    <t>Pusat 15, tetapi jumlah rincian hanya 12 unit (3 unit hilang)</t>
  </si>
  <si>
    <t>2026-10-21_Hari-10_final-dashboard_desktop-1080p.png</t>
  </si>
  <si>
    <t>Data visualisasi kategori tidak akurat</t>
  </si>
  <si>
    <t>BUG-014</t>
  </si>
  <si>
    <t>Pemotongan Teks (Text Clipping) pada Kolom Last Seen Tabel Dashboard</t>
  </si>
  <si>
    <t>1. Amati tabel Status Perangkat Terbaru di dashboard
2. Periksa teks Last Seen</t>
  </si>
  <si>
    <t>Teks lengkap terbaca 'Menunggu Koneksi Fisik'</t>
  </si>
  <si>
    <t>Teks terpotong menjadi 'Menunggu l'</t>
  </si>
  <si>
    <t>Mengurangi estetika dan keterbacaan tabel status</t>
  </si>
  <si>
    <t>BUG-015</t>
  </si>
  <si>
    <t>Tumpukan Banner Toast Menutupi Kartu Pemeliharaan dan Kontrol Bawah</t>
  </si>
  <si>
    <t>Global UI</t>
  </si>
  <si>
    <t>1. Buka dashboard atau devices
2. Amati toast 'Mode Live Update (5s)' di pojok kanan bawah</t>
  </si>
  <si>
    <t>Toast tidak menutupi kartu konten atau tombol pagination</t>
  </si>
  <si>
    <t>Toast menutupi kartu 'Selesai Minggu Ini' dan tombol aksi bawah</t>
  </si>
  <si>
    <t>User tidak dapat melihat status pemeliharaan ke-4</t>
  </si>
  <si>
    <t>BUG-016</t>
  </si>
  <si>
    <t>Lebar Bar Sparkline Disconnected Devices Tidak Sinkron dengan Persentase</t>
  </si>
  <si>
    <t>1. Amati KPI Card 3 Disconnected Devices di dashboard</t>
  </si>
  <si>
    <t>Lebar bar merah sparkline 100% mengikuti teks persentase</t>
  </si>
  <si>
    <t>Teks 100.0% tetapi bar sparkline hanya terisi 10% (statis)</t>
  </si>
  <si>
    <t>Visual bar sparkline tidak sinkron dengan data riil</t>
  </si>
  <si>
    <t>BUG-017</t>
  </si>
  <si>
    <t>Penamaan Lokasi Informal pada Laporan SLA ('Kost Kiki')</t>
  </si>
  <si>
    <t>1. Buka modul Laporan (#page-reports)
2. Periksa tabel SLA Summary</t>
  </si>
  <si>
    <t>Penamaan resmi korporat 'Marketing Office (MO)'</t>
  </si>
  <si>
    <t>Tertulis 'Kantor Pemasaran (Kost Kiki)'</t>
  </si>
  <si>
    <t>Kurang profesional untuk dokumen laporan resmi Teknolab</t>
  </si>
  <si>
    <t>BUG-018</t>
  </si>
  <si>
    <t>Kesalahan Jam Handover Shift 2 pada Banner Pengguna</t>
  </si>
  <si>
    <t>1. Buka modul Pengguna (#page-users)
2. Periksa kartu status tim Shift 2</t>
  </si>
  <si>
    <t>Handover Shift 2: 00.30 - 01.00 WIB</t>
  </si>
  <si>
    <t>Tertulis Handover: 15.30 - 16.00 WIB (jam Shift 1)</t>
  </si>
  <si>
    <t>2026-10-21_Hari-10_final-dashboard_users-rbac.png</t>
  </si>
  <si>
    <t>Inakurasi jadwal operasional shift kerja di UI</t>
  </si>
  <si>
    <t>200 OK, latency 15ms &lt; 2000ms</t>
  </si>
  <si>
    <t>2026-10-21_Hari-10_final-dashboard_monitoring-live.png</t>
  </si>
  <si>
    <t>TC-API-012</t>
  </si>
  <si>
    <t>Uji Konsistensi Respons Endpoint Monitoring Summary</t>
  </si>
  <si>
    <t>GET /api/monitoring/summary</t>
  </si>
  <si>
    <t>1. Kirim GET request dengan Bearer token
2. Amati response time dan schema data</t>
  </si>
  <si>
    <t>HTTP 200, latency &lt; 2000ms, data kategori teragregasi</t>
  </si>
  <si>
    <t>200 OK, latency 14ms, total 17 aset (online 6, unknown 11)</t>
  </si>
  <si>
    <t>docs(qa): finalize mvp bug list and day 10 api consistency test</t>
  </si>
  <si>
    <t>Endpoint consistency pass</t>
  </si>
  <si>
    <t>TC-API-013</t>
  </si>
  <si>
    <t>Uji Konsistensi Respons Endpoint Incidents &amp; Alerts</t>
  </si>
  <si>
    <t>GET /api/incidents</t>
  </si>
  <si>
    <t>1. Kirim GET request dengan Bearer token
2. Verifikasi schema tiket insiden</t>
  </si>
  <si>
    <t>HTTP 200, latency &lt; 2000ms, array tiket tersusun valid</t>
  </si>
  <si>
    <t>200 OK, latency 8ms, struktur tiket insiden valid</t>
  </si>
  <si>
    <t>2026-10-21_Hari-10_final-dashboard_alerts-tickets.png</t>
  </si>
  <si>
    <t>TC-API-014</t>
  </si>
  <si>
    <t>Uji Konsistensi Respons Endpoint Aset Inventaris</t>
  </si>
  <si>
    <t>GET /api/assets</t>
  </si>
  <si>
    <t>1. Kirim GET request
2. Amati 12 atribut minimal aset</t>
  </si>
  <si>
    <t>HTTP 200, latency &lt; 2000ms, data inventaris lengkap</t>
  </si>
  <si>
    <t>200 OK, latency 19ms, 15 aset termuat dengan atribut standar</t>
  </si>
  <si>
    <t>TC-WF-016</t>
  </si>
  <si>
    <t>Audit Konsistensi Kalkulasi SLA &amp; Analitik AI</t>
  </si>
  <si>
    <t>Integrasi &amp; Logika</t>
  </si>
  <si>
    <t>Buka modul Laporan (#page-reports)</t>
  </si>
  <si>
    <t>1. Amati metrik ketersediaan SLA pada kartu AI vs ringkasan 30 hari</t>
  </si>
  <si>
    <t>Nilai SLA sinkron dan teragregasi dari data database</t>
  </si>
  <si>
    <t>Terdeteksi inkonsistensi (0.0% vs 99.3%), dicatat sebagai BUG-011</t>
  </si>
  <si>
    <t>Audit selesai, defect logged to BUG-011</t>
  </si>
  <si>
    <t>TC-WF-017</t>
  </si>
  <si>
    <t>Audit Integritas IP Address &amp; Pencegahan Duplikasi</t>
  </si>
  <si>
    <t>Integritas Data</t>
  </si>
  <si>
    <t>Buka tabel perangkat (#page-devices)</t>
  </si>
  <si>
    <t>1. Analisis seluruh alamat IP pada 15 perangkat terdaftar</t>
  </si>
  <si>
    <t>Alamat IP subnet unik tanpa ada tabrakan (IP conflict)</t>
  </si>
  <si>
    <t>Ditemukan duplikasi IP 192.168.1.1 dan 192.168.1.2, dicatat sebagai BUG-012</t>
  </si>
  <si>
    <t>Audit selesai, defect logged to BUG-012</t>
  </si>
  <si>
    <t>TC-WF-018</t>
  </si>
  <si>
    <t>Verifikasi Sinkronisasi Donut Chart Kategori &amp; Legenda</t>
  </si>
  <si>
    <t>Visual Data</t>
  </si>
  <si>
    <t>Buka dashboard utama (#page-dashboard)</t>
  </si>
  <si>
    <t>1. Amati total di pusat donut vs jumlah rincian legenda</t>
  </si>
  <si>
    <t>Jumlah rincian seluruh kategori persis sama dengan total (15 unit)</t>
  </si>
  <si>
    <t>Pusat 15 unit, rincian hanya 12 unit, dicatat sebagai BUG-013</t>
  </si>
  <si>
    <t>Audit selesai, defect logged to BUG-013</t>
  </si>
  <si>
    <t>TC-WF-019</t>
  </si>
  <si>
    <t>Audit Penamaan Lokasi Standar Enterprise Teknolab</t>
  </si>
  <si>
    <t>Wording &amp; Brand</t>
  </si>
  <si>
    <t>Buka tab Laporan (#page-reports)</t>
  </si>
  <si>
    <t>1. Periksa penamaan lokasi pada ringkasan SLA</t>
  </si>
  <si>
    <t>Penamaan formal: 'Marketing Office (MO)'</t>
  </si>
  <si>
    <t>Tertulis informal 'Kost Kiki', dicatat sebagai BUG-017</t>
  </si>
  <si>
    <t>Audit selesai, defect logged to BUG-017</t>
  </si>
  <si>
    <t>TC-WF-020</t>
  </si>
  <si>
    <t>Validasi Jam Handover Shift 2 pada Banner Sistem</t>
  </si>
  <si>
    <t>Dokumentasi &amp; UI</t>
  </si>
  <si>
    <t>Buka modul Pengguna (#page-users)</t>
  </si>
  <si>
    <t>1. Periksa banner kondisi tim Shift 2</t>
  </si>
  <si>
    <t>Jam handover Shift 2: 00.30 - 01.00 WIB</t>
  </si>
  <si>
    <t>Tertulis jam Shift 1 (15.30 - 16.00 WIB), dicatat sebagai BUG-018</t>
  </si>
  <si>
    <t>Audit selesai, defect logged to BUG-018</t>
  </si>
  <si>
    <t>Fixed &amp; Verified (SLA 30 hari sinkron 99.1% Target Achieved, kartu AI real-time health 0.0% standby)</t>
  </si>
  <si>
    <t>Fixed &amp; Verified (15 aset memiliki IP unik tanpa duplikasi subnet)</t>
  </si>
  <si>
    <t>Fixed &amp; Verified (Donut chart tepat 15 unit terdistribusi di 8 kategori aset)</t>
  </si>
  <si>
    <t>Fixed &amp; Verified (Kolom Last Seen diberi min-width 155px nowrap, teks utuh tanpa clipping)</t>
  </si>
  <si>
    <t>Fixed &amp; Verified (Main content diberi padding-bottom 75px, kartu pemeliharaan bebas tertutup toast)</t>
  </si>
  <si>
    <t>Fixed &amp; Verified (Sparkline disconnected terhubung dinamis ke persentase 100% full bar merah)</t>
  </si>
  <si>
    <t>Fixed &amp; Verified (Laporan SLA distandarisasi resmi menjadi Marketing Office (MO))</t>
  </si>
  <si>
    <t>Fixed &amp; Verified (Banner pengguna diperbarui resmi menjadi Handover: 00.30 - 01.00 WIB)</t>
  </si>
  <si>
    <t>screenshots/Hari-10/2026-10-21_Hari-10_final-dashboard_reports-export.png</t>
  </si>
  <si>
    <t>screenshots/Hari-10/2026-10-21_Hari-10_final-dashboard_devices-management.png</t>
  </si>
  <si>
    <t>screenshots/Hari-10/2026-10-21_Hari-10_final-dashboard_desktop-1080p.png</t>
  </si>
  <si>
    <t>screenshots/Hari-10/2026-10-21_Hari-10_final-dashboard_users-rbac.png</t>
  </si>
  <si>
    <t>2026-10-22_Hari-11_TC-HB-001_iot-heartbeat.png</t>
  </si>
  <si>
    <t>201 Created, log_id disimpan, ICMP ping latency 2ms, 0% packet loss, status online</t>
  </si>
  <si>
    <t>2026-10-22_Hari-11_TC-MON-001_icmp-ping.png</t>
  </si>
  <si>
    <t>201 Created, log_id disimpan, HTTP 200 OK, latency 27ms, status online</t>
  </si>
  <si>
    <t>2026-10-22_Hari-11_TC-MON-002_http-health.png</t>
  </si>
  <si>
    <t>201 Created, log_id disimpan, TCP port 80/443 OPEN, latency 33ms, status online</t>
  </si>
  <si>
    <t>2026-10-22_Hari-11_TC-MON-003_tcp-port-scan.png</t>
  </si>
  <si>
    <t>200 OK, 184 log telemetri &amp; latency berhasil ditarik dengan pagination limit 10, latency 19ms</t>
  </si>
  <si>
    <t>2026-10-22_Hari-11_TC-MON-004_latency-logs.png</t>
  </si>
  <si>
    <t>200 OK, summary data 17 unit online across 10 kategori tervalidasi presisi, latency 17ms</t>
  </si>
  <si>
    <t>2026-10-22_Hari-11_TC-MON-005_monitoring-summary.png</t>
  </si>
  <si>
    <t>200 OK, message: Heartbeat received, status online, RSSI -58 dBm, Response Time 33ms</t>
  </si>
  <si>
    <t>2026-10-23_Hari-12_TC-INC-001_auto-incident-generated.png</t>
  </si>
  <si>
    <t>Status kembali online saat paket ping baru masuk, tiket insiden otomatis berubah menjadi resolved (Auto-Recovery)</t>
  </si>
  <si>
    <t>2026-10-23_Hari-12_TC-REC-001_auto-resolved-recovery.png</t>
  </si>
  <si>
    <t>Status offline terekam, incident type Device Offline, severity high, tiket insiden #99 open tervalidasi via API</t>
  </si>
  <si>
    <t>2026-10-23_Hari-12_TC-FAIL-001_offline-detection.png</t>
  </si>
  <si>
    <t>Status offline terverifikasi, last_seen stop dihentikan saat sinyal telemetri terputus, notifikasi terkirim</t>
  </si>
  <si>
    <t>2026-10-23_Hari-12_TC-NOTIF-001_alert-notification-trigger.png</t>
  </si>
  <si>
    <t>Status sensor terputus tervalidasi, paket heartbeat timeout memicu alert, rekoneksi sukses menerima 200 OK (98ms)</t>
  </si>
  <si>
    <t>2026-10-23_Hari-12_TC-HB-002_iot-heartbeat-recovery.png</t>
  </si>
  <si>
    <t>Injeksi latensi tinggi &gt; 1000ms (1450ms) dan loss 15% memicu transisi status WARNING pada log dan dashboard</t>
  </si>
  <si>
    <t>2026-10-23_Hari-12_TC-WARN-001_high-latency-warning.png</t>
  </si>
  <si>
    <t>200 OK, message: Login berhasil!, token JWT aktif 24 jam diterima</t>
  </si>
  <si>
    <t>Reza Tri Wardana</t>
  </si>
  <si>
    <t>2026-10-23_Hari-12_POST_1-Login_200-OK.png</t>
  </si>
  <si>
    <t>200 OK, user_id: 5, full_name: Ahmad Reza Fahmi, role: admin</t>
  </si>
  <si>
    <t>2026-10-23_Hari-12_GET_2-Me_200-OK.png</t>
  </si>
  <si>
    <t>200 OK, total 18 aset berhasil ditarik lengkap dengan pagination limit 20</t>
  </si>
  <si>
    <t>2026-10-23_Hari-12_GET_1-List-Assets_200-OK.png</t>
  </si>
  <si>
    <t>200 OK, total 118 insiden terekam, auto-incident #120 tercatat untuk IOT-ESP-01</t>
  </si>
  <si>
    <t>200 OK, total 79 notifikasi terekam, pagination limit 50, alert notif terverifikasi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</si>
</sst>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9"/>
      <color rgb="FF555555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0064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/>
    <xf numFmtId="164" fontId="1" fillId="0" borderId="1" xfId="1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1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9" fillId="0" borderId="1" xfId="2" applyFont="1" applyBorder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8" fillId="0" borderId="0" xfId="2"/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left" vertical="top" wrapText="1"/>
    </xf>
    <xf numFmtId="0" fontId="0" fillId="0" borderId="5" xfId="0" applyBorder="1"/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/>
    </xf>
    <xf numFmtId="0" fontId="0" fillId="0" borderId="6" xfId="0" applyBorder="1"/>
    <xf numFmtId="0" fontId="10" fillId="0" borderId="1" xfId="2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8" fillId="0" borderId="1" xfId="2" applyBorder="1" applyAlignment="1">
      <alignment horizontal="center" vertical="center" wrapText="1"/>
    </xf>
    <xf numFmtId="0" fontId="8" fillId="0" borderId="1" xfId="2" applyBorder="1" applyAlignment="1">
      <alignment horizontal="center" vertical="center"/>
    </xf>
    <xf numFmtId="0" fontId="8" fillId="0" borderId="0" xfId="2" applyBorder="1"/>
    <xf numFmtId="0" fontId="0" fillId="0" borderId="1" xfId="0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2" fillId="0" borderId="1" xfId="2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/>
    </xf>
    <xf numFmtId="0" fontId="8" fillId="0" borderId="1" xfId="2" applyBorder="1"/>
    <xf numFmtId="14" fontId="0" fillId="0" borderId="1" xfId="0" applyNumberFormat="1" applyBorder="1" applyAlignment="1">
      <alignment horizontal="left" vertical="top"/>
    </xf>
    <xf numFmtId="0" fontId="8" fillId="0" borderId="1" xfId="2" applyBorder="1" applyAlignment="1">
      <alignment horizontal="left" vertical="top"/>
    </xf>
    <xf numFmtId="14" fontId="0" fillId="0" borderId="1" xfId="0" applyNumberFormat="1" applyBorder="1"/>
    <xf numFmtId="0" fontId="7" fillId="0" borderId="0" xfId="0" applyFont="1" applyAlignment="1">
      <alignment horizontal="left" vertical="top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evidence/screenshots/Hari-9/2026-10-20_Hari-9_dashboard_devices-table.png" TargetMode="External"/><Relationship Id="rId18" Type="http://schemas.openxmlformats.org/officeDocument/2006/relationships/hyperlink" Target="evidence/screenshots/Hari-9/2026-10-20_Hari-9_dashboard_tablet-768p.png" TargetMode="External"/><Relationship Id="rId26" Type="http://schemas.openxmlformats.org/officeDocument/2006/relationships/hyperlink" Target="evidence/screenshots/Hari-10/2026-10-21_Hari-10_final-dashboard_desktop-1080p.png" TargetMode="External"/><Relationship Id="rId39" Type="http://schemas.openxmlformats.org/officeDocument/2006/relationships/hyperlink" Target="evidence\screenshots\Hari-12\2026-10-23_Hari-12_TC-HB-002_iot-heartbeat-recovery.png" TargetMode="External"/><Relationship Id="rId21" Type="http://schemas.openxmlformats.org/officeDocument/2006/relationships/hyperlink" Target="evidence/screenshots/Hari-10/2026-10-21_Hari-10_final-dashboard_monitoring-live.png" TargetMode="External"/><Relationship Id="rId34" Type="http://schemas.openxmlformats.org/officeDocument/2006/relationships/hyperlink" Target="evidence\screenshots\Hari-11\2026-10-22_Hari-11_TC-HB-001_iot-heartbeat.png" TargetMode="External"/><Relationship Id="rId42" Type="http://schemas.openxmlformats.org/officeDocument/2006/relationships/hyperlink" Target="evidence\screenshots\Hari-12\2026-10-23_Hari-12_GET_1-List-Assets_200-OK.png" TargetMode="External"/><Relationship Id="rId7" Type="http://schemas.openxmlformats.org/officeDocument/2006/relationships/hyperlink" Target="evidence\screenshots\Hari-8\2026-10-20_Hari-8_wireframe_desktop-dashboard-1080p.png" TargetMode="External"/><Relationship Id="rId2" Type="http://schemas.openxmlformats.org/officeDocument/2006/relationships/hyperlink" Target="evidence\screenshots\Hari-3\2026-10-14_retest_BUG-001_pass.png" TargetMode="External"/><Relationship Id="rId16" Type="http://schemas.openxmlformats.org/officeDocument/2006/relationships/hyperlink" Target="evidence/screenshots/Hari-9/2026-10-20_Hari-9_dashboard_alerts-incidents.png" TargetMode="External"/><Relationship Id="rId20" Type="http://schemas.openxmlformats.org/officeDocument/2006/relationships/hyperlink" Target="evidence/screenshots/Hari-10/2026-10-21_Hari-10_final-dashboard_monitoring-live.png" TargetMode="External"/><Relationship Id="rId29" Type="http://schemas.openxmlformats.org/officeDocument/2006/relationships/hyperlink" Target="evidence\screenshots\Hari-11\2026-10-22_Hari-11_TC-MON-001_icmp-ping.png" TargetMode="External"/><Relationship Id="rId41" Type="http://schemas.openxmlformats.org/officeDocument/2006/relationships/hyperlink" Target="evidence\screenshots\Hari-12\2026-10-23_Hari-12_POST_1-Login_200-OK.png" TargetMode="External"/><Relationship Id="rId1" Type="http://schemas.openxmlformats.org/officeDocument/2006/relationships/hyperlink" Target="evidence\screenshots\Hari-12\2026-10-23_Hari-12_GET_2-Me_200-OK.png" TargetMode="External"/><Relationship Id="rId6" Type="http://schemas.openxmlformats.org/officeDocument/2006/relationships/hyperlink" Target="evidence\screenshots\Hari-8\2026-10-20_Hari-8_wireframe_modal-detail-spec.png" TargetMode="External"/><Relationship Id="rId11" Type="http://schemas.openxmlformats.org/officeDocument/2006/relationships/hyperlink" Target="evidence\screenshots\Hari-8\2026-10-20_Hari-8_wireframe_settings-permanen.png" TargetMode="External"/><Relationship Id="rId24" Type="http://schemas.openxmlformats.org/officeDocument/2006/relationships/hyperlink" Target="evidence/screenshots/Hari-10/2026-10-21_Hari-10_final-dashboard_reports-export.png" TargetMode="External"/><Relationship Id="rId32" Type="http://schemas.openxmlformats.org/officeDocument/2006/relationships/hyperlink" Target="evidence\screenshots\Hari-11\2026-10-22_Hari-11_TC-MON-004_latency-logs.png" TargetMode="External"/><Relationship Id="rId37" Type="http://schemas.openxmlformats.org/officeDocument/2006/relationships/hyperlink" Target="evidence\screenshots\Hari-12\2026-10-23_Hari-12_TC-FAIL-001_offline-detection.png" TargetMode="External"/><Relationship Id="rId40" Type="http://schemas.openxmlformats.org/officeDocument/2006/relationships/hyperlink" Target="evidence\screenshots\Hari-12\2026-10-23_Hari-12_TC-WARN-001_high-latency-warning.png" TargetMode="External"/><Relationship Id="rId5" Type="http://schemas.openxmlformats.org/officeDocument/2006/relationships/hyperlink" Target="evidence\screenshots\Hari-8\2026-10-20_Hari-8_wireframe_donut-chart-clean.png" TargetMode="External"/><Relationship Id="rId15" Type="http://schemas.openxmlformats.org/officeDocument/2006/relationships/hyperlink" Target="evidence/screenshots/Hari-9/2026-10-20_Hari-9_dashboard_location-gis.png" TargetMode="External"/><Relationship Id="rId23" Type="http://schemas.openxmlformats.org/officeDocument/2006/relationships/hyperlink" Target="evidence/screenshots/Hari-10/2026-10-21_Hari-10_final-dashboard_devices-management.png" TargetMode="External"/><Relationship Id="rId28" Type="http://schemas.openxmlformats.org/officeDocument/2006/relationships/hyperlink" Target="evidence/screenshots/Hari-10/2026-10-21_Hari-10_final-dashboard_users-rbac.png" TargetMode="External"/><Relationship Id="rId36" Type="http://schemas.openxmlformats.org/officeDocument/2006/relationships/hyperlink" Target="evidence\screenshots\Hari-12\2026-10-23_Hari-12_TC-REC-001_auto-resolved-recovery.png" TargetMode="External"/><Relationship Id="rId10" Type="http://schemas.openxmlformats.org/officeDocument/2006/relationships/hyperlink" Target="evidence\screenshots\Hari-8\2026-10-20_Hari-8_wireframe_rbac_super-admin.png" TargetMode="External"/><Relationship Id="rId19" Type="http://schemas.openxmlformats.org/officeDocument/2006/relationships/hyperlink" Target="evidence/screenshots/Hari-9/2026-10-20_Hari-9_dashboard_mobile-375p.png" TargetMode="External"/><Relationship Id="rId31" Type="http://schemas.openxmlformats.org/officeDocument/2006/relationships/hyperlink" Target="evidence\screenshots\Hari-11\2026-10-22_Hari-11_TC-MON-003_tcp-port-scan.png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evidence\screenshots\Hari-5\2026-10-16_retest_BUG-002_pass.png" TargetMode="External"/><Relationship Id="rId9" Type="http://schemas.openxmlformats.org/officeDocument/2006/relationships/hyperlink" Target="evidence\screenshots\Hari-8\2026-10-20_Hari-8_wireframe_mobile-view-375p.png" TargetMode="External"/><Relationship Id="rId14" Type="http://schemas.openxmlformats.org/officeDocument/2006/relationships/hyperlink" Target="evidence/screenshots/Hari-9/2026-10-20_Hari-9_dashboard_monitoring-live.png" TargetMode="External"/><Relationship Id="rId22" Type="http://schemas.openxmlformats.org/officeDocument/2006/relationships/hyperlink" Target="evidence/screenshots/Hari-10/2026-10-21_Hari-10_final-dashboard_alerts-tickets.png" TargetMode="External"/><Relationship Id="rId27" Type="http://schemas.openxmlformats.org/officeDocument/2006/relationships/hyperlink" Target="evidence/screenshots/Hari-10/2026-10-21_Hari-10_final-dashboard_reports-export.png" TargetMode="External"/><Relationship Id="rId30" Type="http://schemas.openxmlformats.org/officeDocument/2006/relationships/hyperlink" Target="evidence\screenshots\Hari-11\2026-10-22_Hari-11_TC-MON-002_http-health.png" TargetMode="External"/><Relationship Id="rId35" Type="http://schemas.openxmlformats.org/officeDocument/2006/relationships/hyperlink" Target="evidence\screenshots\Hari-12\2026-10-23_Hari-12_TC-INC-001_auto-incident-generated.png" TargetMode="External"/><Relationship Id="rId43" Type="http://schemas.openxmlformats.org/officeDocument/2006/relationships/hyperlink" Target="evidence\screenshots\Hari-12\2026-10-23_Hari-12_TC-NOTIF-001_alert-notification-trigger.png" TargetMode="External"/><Relationship Id="rId8" Type="http://schemas.openxmlformats.org/officeDocument/2006/relationships/hyperlink" Target="evidence\screenshots\Hari-8\2026-10-20_Hari-8_wireframe_tablet-view-768p.png" TargetMode="External"/><Relationship Id="rId3" Type="http://schemas.openxmlformats.org/officeDocument/2006/relationships/hyperlink" Target="evidence\screenshots\Hari-5\2026-10-16_retest_BUG-004_pass.png" TargetMode="External"/><Relationship Id="rId12" Type="http://schemas.openxmlformats.org/officeDocument/2006/relationships/hyperlink" Target="evidence/screenshots/Hari-9/2026-10-20_Hari-9_dashboard_desktop-1080p.png" TargetMode="External"/><Relationship Id="rId17" Type="http://schemas.openxmlformats.org/officeDocument/2006/relationships/hyperlink" Target="evidence/screenshots/Hari-9/2026-10-20_Hari-9_dashboard_users-management.png" TargetMode="External"/><Relationship Id="rId25" Type="http://schemas.openxmlformats.org/officeDocument/2006/relationships/hyperlink" Target="evidence/screenshots/Hari-10/2026-10-21_Hari-10_final-dashboard_devices-management.png" TargetMode="External"/><Relationship Id="rId33" Type="http://schemas.openxmlformats.org/officeDocument/2006/relationships/hyperlink" Target="evidence\screenshots\Hari-11\2026-10-22_Hari-11_TC-MON-005_monitoring-summary.png" TargetMode="External"/><Relationship Id="rId38" Type="http://schemas.openxmlformats.org/officeDocument/2006/relationships/hyperlink" Target="evidence\screenshots\Hari-12\2026-10-23_Hari-12_TC-NOTIF-001_alert-notification-trigger.p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2" Type="http://schemas.openxmlformats.org/officeDocument/2006/relationships/hyperlink" Target="evidence\screenshots\Hari-5\2026-10-16_retest_BUG-002_pass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evidence\screenshots\Hari-7\2026-10-19_Hari-7_modul_portal-login.png" TargetMode="External"/><Relationship Id="rId10" Type="http://schemas.openxmlformats.org/officeDocument/2006/relationships/hyperlink" Target="evidence\screenshots\Hari-6\2026-10-18_BUG-005_zip-corrupt.png" TargetMode="External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13" Type="http://schemas.openxmlformats.org/officeDocument/2006/relationships/hyperlink" Target="evidence/screenshots/Hari-10/2026-10-21_Hari-10_final-dashboard_desktop-1080p.png" TargetMode="External"/><Relationship Id="rId18" Type="http://schemas.openxmlformats.org/officeDocument/2006/relationships/hyperlink" Target="evidence/screenshots/Hari-10/2026-10-21_Hari-10_final-dashboard_users-rbac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12" Type="http://schemas.openxmlformats.org/officeDocument/2006/relationships/hyperlink" Target="evidence/screenshots/Hari-10/2026-10-21_Hari-10_final-dashboard_devices-management.png" TargetMode="External"/><Relationship Id="rId17" Type="http://schemas.openxmlformats.org/officeDocument/2006/relationships/hyperlink" Target="evidence/screenshots/Hari-10/2026-10-21_Hari-10_final-dashboard_reports-export.png" TargetMode="External"/><Relationship Id="rId2" Type="http://schemas.openxmlformats.org/officeDocument/2006/relationships/hyperlink" Target="evidence\screenshots\Hari-5\2026-10-16_retest_BUG-002_pass.png" TargetMode="External"/><Relationship Id="rId16" Type="http://schemas.openxmlformats.org/officeDocument/2006/relationships/hyperlink" Target="evidence/screenshots/Hari-10/2026-10-21_Hari-10_final-dashboard_desktop-1080p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7\2026-10-19_Hari-7_modul_portal-login.png" TargetMode="External"/><Relationship Id="rId15" Type="http://schemas.openxmlformats.org/officeDocument/2006/relationships/hyperlink" Target="evidence/screenshots/Hari-10/2026-10-21_Hari-10_final-dashboard_desktop-1080p.png" TargetMode="External"/><Relationship Id="rId10" Type="http://schemas.openxmlformats.org/officeDocument/2006/relationships/hyperlink" Target="evidence\screenshots\Hari-6\2026-10-18_BUG-005_zip-corrupt.png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Relationship Id="rId14" Type="http://schemas.openxmlformats.org/officeDocument/2006/relationships/hyperlink" Target="evidence/screenshots/Hari-10/2026-10-21_Hari-10_final-dashboard_desktop-1080p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94"/>
  <sheetViews>
    <sheetView topLeftCell="D91" zoomScale="40" zoomScaleNormal="40" workbookViewId="0">
      <selection activeCell="E23" sqref="E23"/>
    </sheetView>
  </sheetViews>
  <sheetFormatPr defaultRowHeight="14.5" x14ac:dyDescent="0.35"/>
  <cols>
    <col min="1" max="1" width="14.6328125" customWidth="1"/>
    <col min="2" max="2" width="9.6328125" customWidth="1"/>
    <col min="3" max="3" width="16.6328125" customWidth="1"/>
    <col min="4" max="4" width="30.6328125" customWidth="1"/>
    <col min="5" max="5" width="12.6328125" customWidth="1"/>
    <col min="6" max="6" width="10.6328125" customWidth="1"/>
    <col min="7" max="7" width="26.6328125" customWidth="1"/>
    <col min="8" max="8" width="32.6328125" customWidth="1"/>
    <col min="9" max="9" width="34.54296875" customWidth="1"/>
    <col min="10" max="10" width="34.6328125" customWidth="1"/>
    <col min="11" max="11" width="12.6328125" customWidth="1"/>
    <col min="12" max="12" width="10.6328125" customWidth="1"/>
    <col min="13" max="13" width="12.6328125" customWidth="1"/>
    <col min="14" max="14" width="53.6328125" customWidth="1"/>
    <col min="15" max="16" width="12.6328125" customWidth="1"/>
    <col min="17" max="17" width="25.81640625" customWidth="1"/>
    <col min="18" max="18" width="26.6328125" customWidth="1"/>
  </cols>
  <sheetData>
    <row r="1" spans="1:18" s="1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46.5" customHeight="1" x14ac:dyDescent="0.35">
      <c r="A2" s="9" t="s">
        <v>18</v>
      </c>
      <c r="B2" s="10"/>
      <c r="C2" s="9" t="s">
        <v>35</v>
      </c>
      <c r="D2" s="4" t="s">
        <v>19</v>
      </c>
      <c r="E2" s="4" t="s">
        <v>20</v>
      </c>
      <c r="F2" s="4" t="s">
        <v>21</v>
      </c>
      <c r="G2" s="6" t="s">
        <v>477</v>
      </c>
      <c r="H2" s="6" t="s">
        <v>22</v>
      </c>
      <c r="I2" s="4" t="s">
        <v>23</v>
      </c>
      <c r="J2" s="19" t="s">
        <v>854</v>
      </c>
      <c r="K2" s="4" t="s">
        <v>75</v>
      </c>
      <c r="L2" s="57">
        <v>46318</v>
      </c>
      <c r="M2" s="4" t="s">
        <v>850</v>
      </c>
      <c r="N2" s="58" t="s">
        <v>855</v>
      </c>
      <c r="O2" s="4" t="s">
        <v>24</v>
      </c>
      <c r="P2" s="12" t="s">
        <v>99</v>
      </c>
      <c r="Q2" s="9"/>
      <c r="R2" s="11" t="s">
        <v>476</v>
      </c>
    </row>
    <row r="3" spans="1:18" ht="31.5" customHeight="1" x14ac:dyDescent="0.35">
      <c r="A3" s="7" t="s">
        <v>25</v>
      </c>
      <c r="B3" s="13">
        <v>8</v>
      </c>
      <c r="C3" s="4" t="s">
        <v>35</v>
      </c>
      <c r="D3" s="4" t="s">
        <v>36</v>
      </c>
      <c r="E3" s="4" t="s">
        <v>20</v>
      </c>
      <c r="F3" s="4" t="s">
        <v>21</v>
      </c>
      <c r="G3" s="4"/>
      <c r="H3" s="4"/>
      <c r="I3" s="4" t="s">
        <v>48</v>
      </c>
      <c r="J3" s="4" t="s">
        <v>440</v>
      </c>
      <c r="K3" s="4" t="s">
        <v>75</v>
      </c>
      <c r="L3" s="4" t="s">
        <v>93</v>
      </c>
      <c r="M3" s="4"/>
      <c r="N3" s="4"/>
      <c r="O3" s="4" t="s">
        <v>24</v>
      </c>
      <c r="P3" s="12" t="s">
        <v>87</v>
      </c>
      <c r="Q3" s="7"/>
      <c r="R3" s="11" t="s">
        <v>428</v>
      </c>
    </row>
    <row r="4" spans="1:18" x14ac:dyDescent="0.35">
      <c r="A4" s="7" t="s">
        <v>26</v>
      </c>
      <c r="B4" s="13">
        <v>8</v>
      </c>
      <c r="C4" s="4" t="s">
        <v>35</v>
      </c>
      <c r="D4" s="4" t="s">
        <v>37</v>
      </c>
      <c r="E4" s="4" t="s">
        <v>20</v>
      </c>
      <c r="F4" s="4" t="s">
        <v>21</v>
      </c>
      <c r="G4" s="4" t="s">
        <v>478</v>
      </c>
      <c r="H4" s="4"/>
      <c r="I4" s="4" t="s">
        <v>49</v>
      </c>
      <c r="J4" s="4" t="s">
        <v>441</v>
      </c>
      <c r="K4" s="4" t="s">
        <v>75</v>
      </c>
      <c r="L4" s="4" t="s">
        <v>93</v>
      </c>
      <c r="M4" s="4"/>
      <c r="N4" s="4"/>
      <c r="O4" s="4" t="s">
        <v>24</v>
      </c>
      <c r="P4" s="12"/>
      <c r="Q4" s="7"/>
      <c r="R4" s="7"/>
    </row>
    <row r="5" spans="1:18" x14ac:dyDescent="0.35">
      <c r="A5" s="7" t="s">
        <v>27</v>
      </c>
      <c r="B5" s="13">
        <v>8</v>
      </c>
      <c r="C5" s="4" t="s">
        <v>35</v>
      </c>
      <c r="D5" s="4" t="s">
        <v>38</v>
      </c>
      <c r="E5" s="4" t="s">
        <v>45</v>
      </c>
      <c r="F5" s="4" t="s">
        <v>21</v>
      </c>
      <c r="G5" s="4"/>
      <c r="H5" s="4"/>
      <c r="I5" s="4" t="s">
        <v>50</v>
      </c>
      <c r="J5" s="4" t="s">
        <v>442</v>
      </c>
      <c r="K5" s="4" t="s">
        <v>75</v>
      </c>
      <c r="L5" s="4" t="s">
        <v>93</v>
      </c>
      <c r="M5" s="4"/>
      <c r="N5" s="4"/>
      <c r="O5" s="4" t="s">
        <v>24</v>
      </c>
      <c r="P5" s="12"/>
      <c r="Q5" s="7"/>
      <c r="R5" s="7"/>
    </row>
    <row r="6" spans="1:18" x14ac:dyDescent="0.35">
      <c r="A6" s="7" t="s">
        <v>28</v>
      </c>
      <c r="B6" s="13">
        <v>8</v>
      </c>
      <c r="C6" s="4" t="s">
        <v>35</v>
      </c>
      <c r="D6" s="4" t="s">
        <v>39</v>
      </c>
      <c r="E6" s="4" t="s">
        <v>45</v>
      </c>
      <c r="F6" s="4" t="s">
        <v>21</v>
      </c>
      <c r="G6" s="4"/>
      <c r="H6" s="4"/>
      <c r="I6" s="4" t="s">
        <v>51</v>
      </c>
      <c r="J6" s="4" t="s">
        <v>443</v>
      </c>
      <c r="K6" s="4" t="s">
        <v>75</v>
      </c>
      <c r="L6" s="4" t="s">
        <v>93</v>
      </c>
      <c r="M6" s="4"/>
      <c r="N6" s="4"/>
      <c r="O6" s="4" t="s">
        <v>24</v>
      </c>
      <c r="P6" s="12"/>
      <c r="Q6" s="7"/>
      <c r="R6" s="7"/>
    </row>
    <row r="7" spans="1:18" x14ac:dyDescent="0.35">
      <c r="A7" s="7" t="s">
        <v>29</v>
      </c>
      <c r="B7" s="13">
        <v>9</v>
      </c>
      <c r="C7" s="4" t="s">
        <v>35</v>
      </c>
      <c r="D7" s="4" t="s">
        <v>40</v>
      </c>
      <c r="E7" s="4" t="s">
        <v>20</v>
      </c>
      <c r="F7" s="4" t="s">
        <v>21</v>
      </c>
      <c r="G7" s="4"/>
      <c r="H7" s="4"/>
      <c r="I7" s="4" t="s">
        <v>52</v>
      </c>
      <c r="J7" s="4" t="s">
        <v>444</v>
      </c>
      <c r="K7" s="4" t="s">
        <v>75</v>
      </c>
      <c r="L7" s="4" t="s">
        <v>93</v>
      </c>
      <c r="M7" s="4"/>
      <c r="N7" s="4"/>
      <c r="O7" s="4" t="s">
        <v>24</v>
      </c>
      <c r="P7" s="20" t="s">
        <v>436</v>
      </c>
      <c r="Q7" s="7"/>
      <c r="R7" s="7"/>
    </row>
    <row r="8" spans="1:18" x14ac:dyDescent="0.35">
      <c r="A8" s="7" t="s">
        <v>30</v>
      </c>
      <c r="B8" s="13">
        <v>9</v>
      </c>
      <c r="C8" s="4" t="s">
        <v>35</v>
      </c>
      <c r="D8" s="4" t="s">
        <v>41</v>
      </c>
      <c r="E8" s="4" t="s">
        <v>20</v>
      </c>
      <c r="F8" s="4" t="s">
        <v>21</v>
      </c>
      <c r="G8" s="4"/>
      <c r="H8" s="4"/>
      <c r="I8" s="4" t="s">
        <v>53</v>
      </c>
      <c r="J8" s="4" t="s">
        <v>445</v>
      </c>
      <c r="K8" s="4" t="s">
        <v>75</v>
      </c>
      <c r="L8" s="4" t="s">
        <v>93</v>
      </c>
      <c r="M8" s="4"/>
      <c r="N8" s="4"/>
      <c r="O8" s="4" t="s">
        <v>24</v>
      </c>
      <c r="P8" s="12"/>
      <c r="Q8" s="7"/>
      <c r="R8" s="7"/>
    </row>
    <row r="9" spans="1:18" x14ac:dyDescent="0.35">
      <c r="A9" s="7" t="s">
        <v>31</v>
      </c>
      <c r="B9" s="13">
        <v>9</v>
      </c>
      <c r="C9" s="4" t="s">
        <v>35</v>
      </c>
      <c r="D9" s="4" t="s">
        <v>42</v>
      </c>
      <c r="E9" s="4" t="s">
        <v>46</v>
      </c>
      <c r="F9" s="4" t="s">
        <v>47</v>
      </c>
      <c r="G9" s="4"/>
      <c r="H9" s="4"/>
      <c r="I9" s="4" t="s">
        <v>50</v>
      </c>
      <c r="J9" s="4" t="s">
        <v>446</v>
      </c>
      <c r="K9" s="4" t="s">
        <v>75</v>
      </c>
      <c r="L9" s="4" t="s">
        <v>93</v>
      </c>
      <c r="M9" s="4"/>
      <c r="N9" s="4"/>
      <c r="O9" s="4" t="s">
        <v>24</v>
      </c>
      <c r="P9" s="12"/>
      <c r="Q9" s="7"/>
      <c r="R9" s="7"/>
    </row>
    <row r="10" spans="1:18" ht="30.5" customHeight="1" x14ac:dyDescent="0.35">
      <c r="A10" s="7" t="s">
        <v>32</v>
      </c>
      <c r="B10" s="13">
        <v>9</v>
      </c>
      <c r="C10" s="4" t="s">
        <v>35</v>
      </c>
      <c r="D10" s="4" t="s">
        <v>43</v>
      </c>
      <c r="E10" s="4" t="s">
        <v>45</v>
      </c>
      <c r="F10" s="4" t="s">
        <v>21</v>
      </c>
      <c r="G10" s="4"/>
      <c r="H10" s="4"/>
      <c r="I10" s="4" t="s">
        <v>54</v>
      </c>
      <c r="J10" s="4" t="s">
        <v>447</v>
      </c>
      <c r="K10" s="4" t="s">
        <v>75</v>
      </c>
      <c r="L10" s="4" t="s">
        <v>93</v>
      </c>
      <c r="M10" s="4"/>
      <c r="N10" s="4"/>
      <c r="O10" s="4" t="s">
        <v>24</v>
      </c>
      <c r="P10" s="12"/>
      <c r="Q10" s="7"/>
      <c r="R10" s="11" t="s">
        <v>428</v>
      </c>
    </row>
    <row r="11" spans="1:18" ht="43.5" x14ac:dyDescent="0.35">
      <c r="A11" s="7" t="s">
        <v>33</v>
      </c>
      <c r="B11" s="13">
        <v>9</v>
      </c>
      <c r="C11" s="4" t="s">
        <v>35</v>
      </c>
      <c r="D11" s="9" t="s">
        <v>44</v>
      </c>
      <c r="E11" s="9" t="s">
        <v>46</v>
      </c>
      <c r="F11" s="9" t="s">
        <v>47</v>
      </c>
      <c r="G11" s="11" t="s">
        <v>433</v>
      </c>
      <c r="H11" s="11" t="s">
        <v>432</v>
      </c>
      <c r="I11" s="4" t="s">
        <v>55</v>
      </c>
      <c r="J11" s="11" t="s">
        <v>277</v>
      </c>
      <c r="K11" s="9" t="s">
        <v>75</v>
      </c>
      <c r="L11" s="9" t="s">
        <v>93</v>
      </c>
      <c r="M11" s="9"/>
      <c r="N11" s="9"/>
      <c r="O11" s="4" t="s">
        <v>24</v>
      </c>
      <c r="P11" s="12" t="s">
        <v>87</v>
      </c>
      <c r="Q11" s="7"/>
      <c r="R11" s="6" t="s">
        <v>435</v>
      </c>
    </row>
    <row r="12" spans="1:18" ht="29" x14ac:dyDescent="0.35">
      <c r="A12" s="7" t="s">
        <v>34</v>
      </c>
      <c r="B12" s="13">
        <v>10</v>
      </c>
      <c r="C12" s="14" t="s">
        <v>35</v>
      </c>
      <c r="D12" s="14" t="s">
        <v>44</v>
      </c>
      <c r="E12" s="14" t="s">
        <v>46</v>
      </c>
      <c r="F12" s="14" t="s">
        <v>47</v>
      </c>
      <c r="G12" s="7"/>
      <c r="H12" s="7"/>
      <c r="I12" s="14" t="s">
        <v>55</v>
      </c>
      <c r="J12" s="14" t="s">
        <v>751</v>
      </c>
      <c r="K12" s="7" t="s">
        <v>75</v>
      </c>
      <c r="L12" s="7" t="s">
        <v>93</v>
      </c>
      <c r="M12" s="7"/>
      <c r="N12" s="48" t="s">
        <v>752</v>
      </c>
      <c r="O12" s="14" t="s">
        <v>24</v>
      </c>
      <c r="P12" s="12" t="s">
        <v>107</v>
      </c>
      <c r="Q12" s="7"/>
      <c r="R12" s="8" t="s">
        <v>431</v>
      </c>
    </row>
    <row r="13" spans="1:18" ht="43.5" x14ac:dyDescent="0.35">
      <c r="A13" s="4" t="s">
        <v>169</v>
      </c>
      <c r="B13" s="13">
        <v>13</v>
      </c>
      <c r="C13" s="4" t="s">
        <v>170</v>
      </c>
      <c r="D13" s="6" t="s">
        <v>362</v>
      </c>
      <c r="E13" s="4" t="s">
        <v>20</v>
      </c>
      <c r="F13" s="4" t="s">
        <v>21</v>
      </c>
      <c r="G13" s="6" t="s">
        <v>434</v>
      </c>
      <c r="H13" s="8" t="s">
        <v>226</v>
      </c>
      <c r="I13" s="6" t="s">
        <v>248</v>
      </c>
      <c r="J13" s="4"/>
      <c r="K13" s="4"/>
      <c r="L13" s="7"/>
      <c r="M13" s="7"/>
      <c r="N13" s="7"/>
      <c r="O13" s="4" t="s">
        <v>24</v>
      </c>
      <c r="P13" s="5"/>
      <c r="Q13" s="7"/>
      <c r="R13" s="7"/>
    </row>
    <row r="14" spans="1:18" ht="43.5" x14ac:dyDescent="0.35">
      <c r="A14" s="4" t="s">
        <v>171</v>
      </c>
      <c r="B14" s="13">
        <v>13</v>
      </c>
      <c r="C14" s="4" t="s">
        <v>170</v>
      </c>
      <c r="D14" s="6" t="s">
        <v>363</v>
      </c>
      <c r="E14" s="4" t="s">
        <v>20</v>
      </c>
      <c r="F14" s="4" t="s">
        <v>21</v>
      </c>
      <c r="G14" s="4" t="s">
        <v>172</v>
      </c>
      <c r="H14" s="8" t="s">
        <v>227</v>
      </c>
      <c r="I14" s="6" t="s">
        <v>249</v>
      </c>
      <c r="J14" s="4"/>
      <c r="K14" s="4"/>
      <c r="L14" s="7"/>
      <c r="M14" s="7"/>
      <c r="N14" s="7"/>
      <c r="O14" s="4" t="s">
        <v>24</v>
      </c>
      <c r="P14" s="5"/>
      <c r="Q14" s="7"/>
      <c r="R14" s="7"/>
    </row>
    <row r="15" spans="1:18" ht="43.5" x14ac:dyDescent="0.35">
      <c r="A15" s="4" t="s">
        <v>173</v>
      </c>
      <c r="B15" s="13">
        <v>13</v>
      </c>
      <c r="C15" s="4" t="s">
        <v>170</v>
      </c>
      <c r="D15" s="6" t="s">
        <v>364</v>
      </c>
      <c r="E15" s="4" t="s">
        <v>20</v>
      </c>
      <c r="F15" s="4" t="s">
        <v>21</v>
      </c>
      <c r="G15" s="4" t="s">
        <v>172</v>
      </c>
      <c r="H15" s="8" t="s">
        <v>228</v>
      </c>
      <c r="I15" s="6" t="s">
        <v>615</v>
      </c>
      <c r="J15" s="4"/>
      <c r="K15" s="4"/>
      <c r="L15" s="7"/>
      <c r="M15" s="7"/>
      <c r="N15" s="7"/>
      <c r="O15" s="4" t="s">
        <v>24</v>
      </c>
      <c r="P15" s="5"/>
      <c r="Q15" s="7"/>
      <c r="R15" s="7"/>
    </row>
    <row r="16" spans="1:18" ht="43.5" x14ac:dyDescent="0.35">
      <c r="A16" s="4" t="s">
        <v>174</v>
      </c>
      <c r="B16" s="13">
        <v>13</v>
      </c>
      <c r="C16" s="4" t="s">
        <v>170</v>
      </c>
      <c r="D16" s="6" t="s">
        <v>365</v>
      </c>
      <c r="E16" s="4" t="s">
        <v>20</v>
      </c>
      <c r="F16" s="4" t="s">
        <v>21</v>
      </c>
      <c r="G16" s="4" t="s">
        <v>172</v>
      </c>
      <c r="H16" s="8" t="s">
        <v>229</v>
      </c>
      <c r="I16" s="6" t="s">
        <v>250</v>
      </c>
      <c r="J16" s="4"/>
      <c r="K16" s="4"/>
      <c r="L16" s="7"/>
      <c r="M16" s="7"/>
      <c r="N16" s="7"/>
      <c r="O16" s="4" t="s">
        <v>24</v>
      </c>
      <c r="P16" s="5"/>
      <c r="Q16" s="7"/>
      <c r="R16" s="7"/>
    </row>
    <row r="17" spans="1:18" ht="58" x14ac:dyDescent="0.35">
      <c r="A17" s="4" t="s">
        <v>175</v>
      </c>
      <c r="B17" s="13">
        <v>13</v>
      </c>
      <c r="C17" s="4" t="s">
        <v>170</v>
      </c>
      <c r="D17" s="6" t="s">
        <v>408</v>
      </c>
      <c r="E17" s="4" t="s">
        <v>20</v>
      </c>
      <c r="F17" s="4" t="s">
        <v>21</v>
      </c>
      <c r="G17" s="6" t="s">
        <v>409</v>
      </c>
      <c r="H17" s="8" t="s">
        <v>410</v>
      </c>
      <c r="I17" s="6" t="s">
        <v>411</v>
      </c>
      <c r="J17" s="4"/>
      <c r="K17" s="4"/>
      <c r="L17" s="7"/>
      <c r="M17" s="7"/>
      <c r="N17" s="7"/>
      <c r="O17" s="4" t="s">
        <v>24</v>
      </c>
      <c r="P17" s="5"/>
      <c r="Q17" s="7"/>
      <c r="R17" s="7"/>
    </row>
    <row r="18" spans="1:18" ht="43.5" x14ac:dyDescent="0.35">
      <c r="A18" s="4" t="s">
        <v>176</v>
      </c>
      <c r="B18" s="13">
        <v>13</v>
      </c>
      <c r="C18" s="4" t="s">
        <v>170</v>
      </c>
      <c r="D18" s="6" t="s">
        <v>412</v>
      </c>
      <c r="E18" s="4" t="s">
        <v>20</v>
      </c>
      <c r="F18" s="4" t="s">
        <v>21</v>
      </c>
      <c r="G18" s="6" t="s">
        <v>414</v>
      </c>
      <c r="H18" s="8" t="s">
        <v>415</v>
      </c>
      <c r="I18" s="6" t="s">
        <v>413</v>
      </c>
      <c r="J18" s="4"/>
      <c r="K18" s="4"/>
      <c r="L18" s="7"/>
      <c r="M18" s="7"/>
      <c r="N18" s="7"/>
      <c r="O18" s="4" t="s">
        <v>24</v>
      </c>
      <c r="P18" s="5"/>
      <c r="Q18" s="7"/>
      <c r="R18" s="7"/>
    </row>
    <row r="19" spans="1:18" ht="43.5" x14ac:dyDescent="0.35">
      <c r="A19" s="4" t="s">
        <v>177</v>
      </c>
      <c r="B19" s="13">
        <v>13</v>
      </c>
      <c r="C19" s="4" t="s">
        <v>170</v>
      </c>
      <c r="D19" s="4" t="s">
        <v>178</v>
      </c>
      <c r="E19" s="4" t="s">
        <v>20</v>
      </c>
      <c r="F19" s="4" t="s">
        <v>21</v>
      </c>
      <c r="G19" s="4" t="s">
        <v>172</v>
      </c>
      <c r="H19" s="8" t="s">
        <v>230</v>
      </c>
      <c r="I19" s="6" t="s">
        <v>251</v>
      </c>
      <c r="J19" s="4"/>
      <c r="K19" s="4"/>
      <c r="L19" s="7"/>
      <c r="M19" s="7"/>
      <c r="N19" s="7"/>
      <c r="O19" s="4" t="s">
        <v>24</v>
      </c>
      <c r="P19" s="5"/>
      <c r="Q19" s="7"/>
      <c r="R19" s="7"/>
    </row>
    <row r="20" spans="1:18" ht="43.5" x14ac:dyDescent="0.35">
      <c r="A20" s="4" t="s">
        <v>179</v>
      </c>
      <c r="B20" s="13">
        <v>13</v>
      </c>
      <c r="C20" s="4" t="s">
        <v>170</v>
      </c>
      <c r="D20" s="4" t="s">
        <v>416</v>
      </c>
      <c r="E20" s="4" t="s">
        <v>20</v>
      </c>
      <c r="F20" s="4" t="s">
        <v>21</v>
      </c>
      <c r="G20" s="6" t="s">
        <v>409</v>
      </c>
      <c r="H20" s="8" t="s">
        <v>417</v>
      </c>
      <c r="I20" s="6" t="s">
        <v>616</v>
      </c>
      <c r="J20" s="4"/>
      <c r="K20" s="4"/>
      <c r="L20" s="7"/>
      <c r="M20" s="7"/>
      <c r="N20" s="7"/>
      <c r="O20" s="4" t="s">
        <v>24</v>
      </c>
      <c r="P20" s="5"/>
      <c r="Q20" s="7"/>
      <c r="R20" s="7"/>
    </row>
    <row r="21" spans="1:18" ht="43.5" x14ac:dyDescent="0.35">
      <c r="A21" s="4" t="s">
        <v>180</v>
      </c>
      <c r="B21" s="13">
        <v>13</v>
      </c>
      <c r="C21" s="4" t="s">
        <v>170</v>
      </c>
      <c r="D21" s="4" t="s">
        <v>181</v>
      </c>
      <c r="E21" s="4" t="s">
        <v>20</v>
      </c>
      <c r="F21" s="4" t="s">
        <v>21</v>
      </c>
      <c r="G21" s="4" t="s">
        <v>172</v>
      </c>
      <c r="H21" s="8" t="s">
        <v>231</v>
      </c>
      <c r="I21" s="6" t="s">
        <v>617</v>
      </c>
      <c r="J21" s="4"/>
      <c r="K21" s="4"/>
      <c r="L21" s="7"/>
      <c r="M21" s="7"/>
      <c r="N21" s="7"/>
      <c r="O21" s="4" t="s">
        <v>24</v>
      </c>
      <c r="P21" s="5"/>
      <c r="Q21" s="7"/>
      <c r="R21" s="7"/>
    </row>
    <row r="22" spans="1:18" ht="29" x14ac:dyDescent="0.35">
      <c r="A22" s="4" t="s">
        <v>182</v>
      </c>
      <c r="B22" s="13">
        <v>13</v>
      </c>
      <c r="C22" s="4" t="s">
        <v>170</v>
      </c>
      <c r="D22" s="4" t="s">
        <v>183</v>
      </c>
      <c r="E22" s="4" t="s">
        <v>20</v>
      </c>
      <c r="F22" s="4" t="s">
        <v>21</v>
      </c>
      <c r="G22" s="4" t="s">
        <v>172</v>
      </c>
      <c r="H22" s="8" t="s">
        <v>232</v>
      </c>
      <c r="I22" s="4" t="s">
        <v>184</v>
      </c>
      <c r="J22" s="4"/>
      <c r="K22" s="4"/>
      <c r="L22" s="7"/>
      <c r="M22" s="7"/>
      <c r="N22" s="7"/>
      <c r="O22" s="4" t="s">
        <v>24</v>
      </c>
      <c r="P22" s="5"/>
      <c r="Q22" s="7"/>
      <c r="R22" s="7"/>
    </row>
    <row r="23" spans="1:18" ht="29" x14ac:dyDescent="0.35">
      <c r="A23" s="4" t="s">
        <v>185</v>
      </c>
      <c r="B23" s="13">
        <v>13</v>
      </c>
      <c r="C23" s="4" t="s">
        <v>170</v>
      </c>
      <c r="D23" s="4" t="s">
        <v>186</v>
      </c>
      <c r="E23" s="4" t="s">
        <v>20</v>
      </c>
      <c r="F23" s="4" t="s">
        <v>21</v>
      </c>
      <c r="G23" s="4" t="s">
        <v>172</v>
      </c>
      <c r="H23" s="8" t="s">
        <v>233</v>
      </c>
      <c r="I23" s="6" t="s">
        <v>618</v>
      </c>
      <c r="J23" s="4"/>
      <c r="K23" s="4"/>
      <c r="L23" s="7"/>
      <c r="M23" s="7"/>
      <c r="N23" s="7"/>
      <c r="O23" s="4" t="s">
        <v>24</v>
      </c>
      <c r="P23" s="5"/>
      <c r="Q23" s="7"/>
      <c r="R23" s="7"/>
    </row>
    <row r="24" spans="1:18" ht="29" x14ac:dyDescent="0.35">
      <c r="A24" s="4" t="s">
        <v>187</v>
      </c>
      <c r="B24" s="13">
        <v>13</v>
      </c>
      <c r="C24" s="4" t="s">
        <v>170</v>
      </c>
      <c r="D24" s="4" t="s">
        <v>188</v>
      </c>
      <c r="E24" s="4" t="s">
        <v>20</v>
      </c>
      <c r="F24" s="4" t="s">
        <v>47</v>
      </c>
      <c r="G24" s="4" t="s">
        <v>172</v>
      </c>
      <c r="H24" s="8" t="s">
        <v>234</v>
      </c>
      <c r="I24" s="4" t="s">
        <v>189</v>
      </c>
      <c r="J24" s="4"/>
      <c r="K24" s="4"/>
      <c r="L24" s="7"/>
      <c r="M24" s="7"/>
      <c r="N24" s="7"/>
      <c r="O24" s="4" t="s">
        <v>24</v>
      </c>
      <c r="P24" s="5"/>
      <c r="Q24" s="7"/>
      <c r="R24" s="7"/>
    </row>
    <row r="25" spans="1:18" ht="29" x14ac:dyDescent="0.35">
      <c r="A25" s="4" t="s">
        <v>190</v>
      </c>
      <c r="B25" s="13">
        <v>13</v>
      </c>
      <c r="C25" s="4" t="s">
        <v>170</v>
      </c>
      <c r="D25" s="4" t="s">
        <v>191</v>
      </c>
      <c r="E25" s="4" t="s">
        <v>20</v>
      </c>
      <c r="F25" s="4" t="s">
        <v>21</v>
      </c>
      <c r="G25" s="4" t="s">
        <v>172</v>
      </c>
      <c r="H25" s="8" t="s">
        <v>235</v>
      </c>
      <c r="I25" s="4" t="s">
        <v>192</v>
      </c>
      <c r="J25" s="4"/>
      <c r="K25" s="4"/>
      <c r="L25" s="7"/>
      <c r="M25" s="7"/>
      <c r="N25" s="7"/>
      <c r="O25" s="4" t="s">
        <v>24</v>
      </c>
      <c r="P25" s="5"/>
      <c r="Q25" s="7"/>
      <c r="R25" s="7"/>
    </row>
    <row r="26" spans="1:18" ht="29" x14ac:dyDescent="0.35">
      <c r="A26" s="4" t="s">
        <v>193</v>
      </c>
      <c r="B26" s="13">
        <v>13</v>
      </c>
      <c r="C26" s="4" t="s">
        <v>170</v>
      </c>
      <c r="D26" s="6" t="s">
        <v>366</v>
      </c>
      <c r="E26" s="4" t="s">
        <v>20</v>
      </c>
      <c r="F26" s="4" t="s">
        <v>21</v>
      </c>
      <c r="G26" s="4" t="s">
        <v>172</v>
      </c>
      <c r="H26" s="8" t="s">
        <v>236</v>
      </c>
      <c r="I26" s="6" t="s">
        <v>619</v>
      </c>
      <c r="J26" s="4"/>
      <c r="K26" s="4"/>
      <c r="L26" s="7"/>
      <c r="M26" s="7"/>
      <c r="N26" s="7"/>
      <c r="O26" s="4" t="s">
        <v>24</v>
      </c>
      <c r="P26" s="5"/>
      <c r="Q26" s="7"/>
      <c r="R26" s="7"/>
    </row>
    <row r="27" spans="1:18" ht="29" x14ac:dyDescent="0.35">
      <c r="A27" s="4" t="s">
        <v>194</v>
      </c>
      <c r="B27" s="13">
        <v>13</v>
      </c>
      <c r="C27" s="4" t="s">
        <v>170</v>
      </c>
      <c r="D27" s="4" t="s">
        <v>195</v>
      </c>
      <c r="E27" s="4" t="s">
        <v>20</v>
      </c>
      <c r="F27" s="4" t="s">
        <v>47</v>
      </c>
      <c r="G27" s="4" t="s">
        <v>172</v>
      </c>
      <c r="H27" s="8" t="s">
        <v>237</v>
      </c>
      <c r="I27" s="4" t="s">
        <v>196</v>
      </c>
      <c r="J27" s="4"/>
      <c r="K27" s="4"/>
      <c r="L27" s="7"/>
      <c r="M27" s="7"/>
      <c r="N27" s="7"/>
      <c r="O27" s="4" t="s">
        <v>24</v>
      </c>
      <c r="P27" s="5"/>
      <c r="Q27" s="7"/>
      <c r="R27" s="7"/>
    </row>
    <row r="28" spans="1:18" ht="58" x14ac:dyDescent="0.35">
      <c r="A28" s="4" t="s">
        <v>197</v>
      </c>
      <c r="B28" s="13">
        <v>27</v>
      </c>
      <c r="C28" s="4" t="s">
        <v>198</v>
      </c>
      <c r="D28" s="6" t="s">
        <v>367</v>
      </c>
      <c r="E28" s="4" t="s">
        <v>199</v>
      </c>
      <c r="F28" s="4" t="s">
        <v>21</v>
      </c>
      <c r="G28" s="4" t="s">
        <v>200</v>
      </c>
      <c r="H28" s="8" t="s">
        <v>239</v>
      </c>
      <c r="I28" s="6" t="s">
        <v>252</v>
      </c>
      <c r="J28" s="4" t="s">
        <v>856</v>
      </c>
      <c r="K28" s="4" t="s">
        <v>75</v>
      </c>
      <c r="L28" s="59">
        <v>46318</v>
      </c>
      <c r="M28" s="7" t="s">
        <v>850</v>
      </c>
      <c r="N28" s="56" t="s">
        <v>838</v>
      </c>
      <c r="O28" s="4" t="s">
        <v>24</v>
      </c>
      <c r="P28" s="5" t="s">
        <v>113</v>
      </c>
      <c r="Q28" s="7"/>
      <c r="R28" s="7"/>
    </row>
    <row r="29" spans="1:18" ht="43.5" x14ac:dyDescent="0.35">
      <c r="A29" s="4" t="s">
        <v>201</v>
      </c>
      <c r="B29" s="13">
        <v>27</v>
      </c>
      <c r="C29" s="4" t="s">
        <v>198</v>
      </c>
      <c r="D29" s="6" t="s">
        <v>368</v>
      </c>
      <c r="E29" s="4" t="s">
        <v>199</v>
      </c>
      <c r="F29" s="4" t="s">
        <v>21</v>
      </c>
      <c r="G29" s="4" t="s">
        <v>202</v>
      </c>
      <c r="H29" s="8" t="s">
        <v>238</v>
      </c>
      <c r="I29" s="6" t="s">
        <v>253</v>
      </c>
      <c r="J29" s="4" t="s">
        <v>839</v>
      </c>
      <c r="K29" s="4" t="s">
        <v>75</v>
      </c>
      <c r="L29" s="7"/>
      <c r="M29" s="7"/>
      <c r="N29" s="56" t="s">
        <v>840</v>
      </c>
      <c r="O29" s="4" t="s">
        <v>24</v>
      </c>
      <c r="P29" s="5" t="s">
        <v>113</v>
      </c>
      <c r="Q29" s="7"/>
      <c r="R29" s="7"/>
    </row>
    <row r="30" spans="1:18" ht="43.5" x14ac:dyDescent="0.35">
      <c r="A30" s="4" t="s">
        <v>203</v>
      </c>
      <c r="B30" s="13">
        <v>27</v>
      </c>
      <c r="C30" s="4" t="s">
        <v>198</v>
      </c>
      <c r="D30" s="6" t="s">
        <v>369</v>
      </c>
      <c r="E30" s="4" t="s">
        <v>199</v>
      </c>
      <c r="F30" s="4" t="s">
        <v>21</v>
      </c>
      <c r="G30" s="4" t="s">
        <v>204</v>
      </c>
      <c r="H30" s="8" t="s">
        <v>240</v>
      </c>
      <c r="I30" s="6" t="s">
        <v>620</v>
      </c>
      <c r="J30" s="4" t="s">
        <v>841</v>
      </c>
      <c r="K30" s="4" t="s">
        <v>75</v>
      </c>
      <c r="L30" s="7"/>
      <c r="M30" s="7"/>
      <c r="N30" s="56" t="s">
        <v>842</v>
      </c>
      <c r="O30" s="4" t="s">
        <v>24</v>
      </c>
      <c r="P30" s="5" t="s">
        <v>113</v>
      </c>
      <c r="Q30" s="7"/>
      <c r="R30" s="7"/>
    </row>
    <row r="31" spans="1:18" ht="43.5" x14ac:dyDescent="0.35">
      <c r="A31" s="4" t="s">
        <v>205</v>
      </c>
      <c r="B31" s="13">
        <v>27</v>
      </c>
      <c r="C31" s="4" t="s">
        <v>198</v>
      </c>
      <c r="D31" s="6" t="s">
        <v>370</v>
      </c>
      <c r="E31" s="4" t="s">
        <v>199</v>
      </c>
      <c r="F31" s="4" t="s">
        <v>21</v>
      </c>
      <c r="G31" s="4" t="s">
        <v>206</v>
      </c>
      <c r="H31" s="8" t="s">
        <v>241</v>
      </c>
      <c r="I31" s="6" t="s">
        <v>254</v>
      </c>
      <c r="J31" s="4" t="s">
        <v>843</v>
      </c>
      <c r="K31" s="4" t="s">
        <v>75</v>
      </c>
      <c r="L31" s="7"/>
      <c r="M31" s="7"/>
      <c r="N31" s="56" t="s">
        <v>844</v>
      </c>
      <c r="O31" s="4" t="s">
        <v>24</v>
      </c>
      <c r="P31" s="5" t="s">
        <v>113</v>
      </c>
      <c r="Q31" s="7"/>
      <c r="R31" s="7"/>
    </row>
    <row r="32" spans="1:18" ht="43.5" x14ac:dyDescent="0.35">
      <c r="A32" s="4" t="s">
        <v>207</v>
      </c>
      <c r="B32" s="13">
        <v>27</v>
      </c>
      <c r="C32" s="4" t="s">
        <v>198</v>
      </c>
      <c r="D32" s="6" t="s">
        <v>371</v>
      </c>
      <c r="E32" s="4" t="s">
        <v>199</v>
      </c>
      <c r="F32" s="4" t="s">
        <v>21</v>
      </c>
      <c r="G32" s="4" t="s">
        <v>208</v>
      </c>
      <c r="H32" s="8" t="s">
        <v>242</v>
      </c>
      <c r="I32" s="6" t="s">
        <v>623</v>
      </c>
      <c r="J32" s="4" t="s">
        <v>845</v>
      </c>
      <c r="K32" s="4" t="s">
        <v>75</v>
      </c>
      <c r="L32" s="7"/>
      <c r="M32" s="7"/>
      <c r="N32" s="56" t="s">
        <v>846</v>
      </c>
      <c r="O32" s="4" t="s">
        <v>24</v>
      </c>
      <c r="P32" s="5" t="s">
        <v>113</v>
      </c>
      <c r="Q32" s="7"/>
      <c r="R32" s="7"/>
    </row>
    <row r="33" spans="1:18" ht="43.5" x14ac:dyDescent="0.35">
      <c r="A33" s="4" t="s">
        <v>209</v>
      </c>
      <c r="B33" s="13">
        <v>27</v>
      </c>
      <c r="C33" s="4" t="s">
        <v>198</v>
      </c>
      <c r="D33" s="6" t="s">
        <v>372</v>
      </c>
      <c r="E33" s="4" t="s">
        <v>199</v>
      </c>
      <c r="F33" s="4" t="s">
        <v>21</v>
      </c>
      <c r="G33" s="4" t="s">
        <v>210</v>
      </c>
      <c r="H33" s="8" t="s">
        <v>243</v>
      </c>
      <c r="I33" s="6" t="s">
        <v>255</v>
      </c>
      <c r="J33" s="4" t="s">
        <v>847</v>
      </c>
      <c r="K33" s="4" t="s">
        <v>75</v>
      </c>
      <c r="L33" s="7"/>
      <c r="M33" s="7"/>
      <c r="N33" s="56" t="s">
        <v>848</v>
      </c>
      <c r="O33" s="4" t="s">
        <v>24</v>
      </c>
      <c r="P33" s="5" t="s">
        <v>113</v>
      </c>
      <c r="Q33" s="7"/>
      <c r="R33" s="7"/>
    </row>
    <row r="34" spans="1:18" ht="43.5" x14ac:dyDescent="0.35">
      <c r="A34" s="4" t="s">
        <v>211</v>
      </c>
      <c r="B34" s="13">
        <v>27</v>
      </c>
      <c r="C34" s="4" t="s">
        <v>198</v>
      </c>
      <c r="D34" s="6" t="s">
        <v>373</v>
      </c>
      <c r="E34" s="4" t="s">
        <v>199</v>
      </c>
      <c r="F34" s="4" t="s">
        <v>21</v>
      </c>
      <c r="G34" s="4" t="s">
        <v>212</v>
      </c>
      <c r="H34" s="8" t="s">
        <v>244</v>
      </c>
      <c r="I34" s="6" t="s">
        <v>257</v>
      </c>
      <c r="J34" s="4"/>
      <c r="K34" s="4"/>
      <c r="L34" s="7"/>
      <c r="M34" s="7"/>
      <c r="N34" s="7"/>
      <c r="O34" s="4" t="s">
        <v>24</v>
      </c>
      <c r="P34" s="5"/>
      <c r="Q34" s="7"/>
      <c r="R34" s="7"/>
    </row>
    <row r="35" spans="1:18" ht="29" x14ac:dyDescent="0.35">
      <c r="A35" s="4" t="s">
        <v>213</v>
      </c>
      <c r="B35" s="13">
        <v>27</v>
      </c>
      <c r="C35" s="4" t="s">
        <v>198</v>
      </c>
      <c r="D35" s="6" t="s">
        <v>374</v>
      </c>
      <c r="E35" s="4" t="s">
        <v>20</v>
      </c>
      <c r="F35" s="4" t="s">
        <v>21</v>
      </c>
      <c r="G35" s="4" t="s">
        <v>214</v>
      </c>
      <c r="H35" s="8" t="s">
        <v>245</v>
      </c>
      <c r="I35" s="6" t="s">
        <v>256</v>
      </c>
      <c r="J35" s="4"/>
      <c r="K35" s="4"/>
      <c r="L35" s="7"/>
      <c r="M35" s="7"/>
      <c r="N35" s="7"/>
      <c r="O35" s="4" t="s">
        <v>24</v>
      </c>
      <c r="P35" s="5"/>
      <c r="Q35" s="7"/>
      <c r="R35" s="7"/>
    </row>
    <row r="36" spans="1:18" ht="43.5" x14ac:dyDescent="0.35">
      <c r="A36" s="4" t="s">
        <v>215</v>
      </c>
      <c r="B36" s="13">
        <v>27</v>
      </c>
      <c r="C36" s="4" t="s">
        <v>198</v>
      </c>
      <c r="D36" s="4" t="s">
        <v>216</v>
      </c>
      <c r="E36" s="4" t="s">
        <v>20</v>
      </c>
      <c r="F36" s="4" t="s">
        <v>21</v>
      </c>
      <c r="G36" s="4" t="s">
        <v>217</v>
      </c>
      <c r="H36" s="8" t="s">
        <v>246</v>
      </c>
      <c r="I36" s="4" t="s">
        <v>218</v>
      </c>
      <c r="J36" s="4"/>
      <c r="K36" s="4"/>
      <c r="L36" s="7"/>
      <c r="M36" s="7"/>
      <c r="N36" s="7"/>
      <c r="O36" s="4" t="s">
        <v>24</v>
      </c>
      <c r="P36" s="5"/>
      <c r="Q36" s="7"/>
      <c r="R36" s="7"/>
    </row>
    <row r="37" spans="1:18" ht="29" x14ac:dyDescent="0.35">
      <c r="A37" s="4" t="s">
        <v>219</v>
      </c>
      <c r="B37" s="13">
        <v>27</v>
      </c>
      <c r="C37" s="4" t="s">
        <v>198</v>
      </c>
      <c r="D37" s="6" t="s">
        <v>375</v>
      </c>
      <c r="E37" s="4" t="s">
        <v>199</v>
      </c>
      <c r="F37" s="4" t="s">
        <v>21</v>
      </c>
      <c r="G37" s="4" t="s">
        <v>220</v>
      </c>
      <c r="H37" s="8" t="s">
        <v>377</v>
      </c>
      <c r="I37" s="6" t="s">
        <v>258</v>
      </c>
      <c r="J37" s="4"/>
      <c r="K37" s="4"/>
      <c r="L37" s="7"/>
      <c r="M37" s="7"/>
      <c r="N37" s="7"/>
      <c r="O37" s="4" t="s">
        <v>24</v>
      </c>
      <c r="P37" s="5"/>
      <c r="Q37" s="7"/>
      <c r="R37" s="7"/>
    </row>
    <row r="38" spans="1:18" ht="29" x14ac:dyDescent="0.35">
      <c r="A38" s="4" t="s">
        <v>221</v>
      </c>
      <c r="B38" s="13">
        <v>27</v>
      </c>
      <c r="C38" s="4" t="s">
        <v>198</v>
      </c>
      <c r="D38" s="4" t="s">
        <v>222</v>
      </c>
      <c r="E38" s="4" t="s">
        <v>199</v>
      </c>
      <c r="F38" s="4" t="s">
        <v>21</v>
      </c>
      <c r="G38" s="4" t="s">
        <v>220</v>
      </c>
      <c r="H38" s="7" t="s">
        <v>223</v>
      </c>
      <c r="I38" s="6" t="s">
        <v>621</v>
      </c>
      <c r="J38" s="4"/>
      <c r="K38" s="4"/>
      <c r="L38" s="7"/>
      <c r="M38" s="7"/>
      <c r="N38" s="7"/>
      <c r="O38" s="4" t="s">
        <v>24</v>
      </c>
      <c r="P38" s="5"/>
      <c r="Q38" s="7"/>
      <c r="R38" s="7"/>
    </row>
    <row r="39" spans="1:18" ht="43.5" x14ac:dyDescent="0.35">
      <c r="A39" s="4" t="s">
        <v>224</v>
      </c>
      <c r="B39" s="13">
        <v>27</v>
      </c>
      <c r="C39" s="4" t="s">
        <v>198</v>
      </c>
      <c r="D39" s="6" t="s">
        <v>376</v>
      </c>
      <c r="E39" s="4" t="s">
        <v>199</v>
      </c>
      <c r="F39" s="4" t="s">
        <v>47</v>
      </c>
      <c r="G39" s="4" t="s">
        <v>225</v>
      </c>
      <c r="H39" s="8" t="s">
        <v>247</v>
      </c>
      <c r="I39" s="6" t="s">
        <v>622</v>
      </c>
      <c r="J39" s="4"/>
      <c r="K39" s="4"/>
      <c r="L39" s="7"/>
      <c r="M39" s="7"/>
      <c r="N39" s="7"/>
      <c r="O39" s="4" t="s">
        <v>24</v>
      </c>
      <c r="P39" s="5"/>
      <c r="Q39" s="7"/>
      <c r="R39" s="7"/>
    </row>
    <row r="40" spans="1:18" ht="43.5" x14ac:dyDescent="0.35">
      <c r="A40" s="4" t="s">
        <v>259</v>
      </c>
      <c r="B40" s="13">
        <v>8</v>
      </c>
      <c r="C40" s="4" t="s">
        <v>260</v>
      </c>
      <c r="D40" s="4" t="s">
        <v>261</v>
      </c>
      <c r="E40" s="4" t="s">
        <v>20</v>
      </c>
      <c r="F40" s="4" t="s">
        <v>21</v>
      </c>
      <c r="G40" s="4" t="s">
        <v>262</v>
      </c>
      <c r="H40" s="6" t="s">
        <v>378</v>
      </c>
      <c r="I40" s="4" t="s">
        <v>263</v>
      </c>
      <c r="J40" s="4" t="s">
        <v>849</v>
      </c>
      <c r="K40" s="4" t="s">
        <v>75</v>
      </c>
      <c r="L40" s="57">
        <v>46318</v>
      </c>
      <c r="M40" s="4" t="s">
        <v>850</v>
      </c>
      <c r="N40" s="56" t="s">
        <v>851</v>
      </c>
      <c r="O40" s="4" t="s">
        <v>24</v>
      </c>
      <c r="P40" s="5" t="s">
        <v>87</v>
      </c>
      <c r="Q40" s="7"/>
      <c r="R40" s="11" t="s">
        <v>428</v>
      </c>
    </row>
    <row r="41" spans="1:18" ht="43.5" x14ac:dyDescent="0.35">
      <c r="A41" s="4" t="s">
        <v>264</v>
      </c>
      <c r="B41" s="13">
        <v>8</v>
      </c>
      <c r="C41" s="4" t="s">
        <v>260</v>
      </c>
      <c r="D41" s="4" t="s">
        <v>265</v>
      </c>
      <c r="E41" s="4" t="s">
        <v>45</v>
      </c>
      <c r="F41" s="4" t="s">
        <v>21</v>
      </c>
      <c r="G41" s="4" t="s">
        <v>262</v>
      </c>
      <c r="H41" s="6" t="s">
        <v>379</v>
      </c>
      <c r="I41" s="4" t="s">
        <v>266</v>
      </c>
      <c r="J41" s="4"/>
      <c r="K41" s="4"/>
      <c r="L41" s="4"/>
      <c r="M41" s="4"/>
      <c r="N41" s="7"/>
      <c r="O41" s="4" t="s">
        <v>24</v>
      </c>
      <c r="P41" s="5"/>
      <c r="Q41" s="7"/>
      <c r="R41" s="7"/>
    </row>
    <row r="42" spans="1:18" ht="43.5" x14ac:dyDescent="0.35">
      <c r="A42" s="4" t="s">
        <v>267</v>
      </c>
      <c r="B42" s="13">
        <v>8</v>
      </c>
      <c r="C42" s="4" t="s">
        <v>260</v>
      </c>
      <c r="D42" s="4" t="s">
        <v>268</v>
      </c>
      <c r="E42" s="4" t="s">
        <v>45</v>
      </c>
      <c r="F42" s="4" t="s">
        <v>21</v>
      </c>
      <c r="G42" s="4" t="s">
        <v>262</v>
      </c>
      <c r="H42" s="6" t="s">
        <v>380</v>
      </c>
      <c r="I42" s="4" t="s">
        <v>269</v>
      </c>
      <c r="J42" s="4"/>
      <c r="K42" s="4"/>
      <c r="L42" s="4"/>
      <c r="M42" s="4"/>
      <c r="N42" s="7"/>
      <c r="O42" s="4" t="s">
        <v>24</v>
      </c>
      <c r="P42" s="5"/>
      <c r="Q42" s="7"/>
      <c r="R42" s="7"/>
    </row>
    <row r="43" spans="1:18" ht="43.5" x14ac:dyDescent="0.35">
      <c r="A43" s="4" t="s">
        <v>270</v>
      </c>
      <c r="B43" s="13">
        <v>8</v>
      </c>
      <c r="C43" s="4" t="s">
        <v>260</v>
      </c>
      <c r="D43" s="4" t="s">
        <v>271</v>
      </c>
      <c r="E43" s="4" t="s">
        <v>20</v>
      </c>
      <c r="F43" s="4" t="s">
        <v>21</v>
      </c>
      <c r="G43" s="4" t="s">
        <v>272</v>
      </c>
      <c r="H43" s="6" t="s">
        <v>381</v>
      </c>
      <c r="I43" s="4" t="s">
        <v>273</v>
      </c>
      <c r="J43" s="4" t="s">
        <v>852</v>
      </c>
      <c r="K43" s="4" t="s">
        <v>75</v>
      </c>
      <c r="L43" s="57">
        <v>46318</v>
      </c>
      <c r="M43" s="4" t="s">
        <v>850</v>
      </c>
      <c r="N43" s="47" t="s">
        <v>853</v>
      </c>
      <c r="O43" s="4" t="s">
        <v>24</v>
      </c>
      <c r="P43" s="5"/>
      <c r="Q43" s="7"/>
      <c r="R43" s="7"/>
    </row>
    <row r="44" spans="1:18" ht="43.5" x14ac:dyDescent="0.35">
      <c r="A44" s="4" t="s">
        <v>274</v>
      </c>
      <c r="B44" s="13">
        <v>8</v>
      </c>
      <c r="C44" s="4" t="s">
        <v>260</v>
      </c>
      <c r="D44" s="4" t="s">
        <v>275</v>
      </c>
      <c r="E44" s="4" t="s">
        <v>45</v>
      </c>
      <c r="F44" s="4" t="s">
        <v>21</v>
      </c>
      <c r="G44" s="4" t="s">
        <v>276</v>
      </c>
      <c r="H44" s="6" t="s">
        <v>382</v>
      </c>
      <c r="I44" s="4" t="s">
        <v>277</v>
      </c>
      <c r="J44" s="4"/>
      <c r="K44" s="4"/>
      <c r="L44" s="4"/>
      <c r="M44" s="4"/>
      <c r="N44" s="13"/>
      <c r="O44" s="4" t="s">
        <v>24</v>
      </c>
      <c r="P44" s="5"/>
      <c r="Q44" s="7"/>
      <c r="R44" s="7"/>
    </row>
    <row r="45" spans="1:18" ht="43.5" x14ac:dyDescent="0.35">
      <c r="A45" s="4" t="s">
        <v>278</v>
      </c>
      <c r="B45" s="13">
        <v>8</v>
      </c>
      <c r="C45" s="4" t="s">
        <v>260</v>
      </c>
      <c r="D45" s="4" t="s">
        <v>279</v>
      </c>
      <c r="E45" s="4" t="s">
        <v>20</v>
      </c>
      <c r="F45" s="4" t="s">
        <v>47</v>
      </c>
      <c r="G45" s="4" t="s">
        <v>272</v>
      </c>
      <c r="H45" s="6" t="s">
        <v>383</v>
      </c>
      <c r="I45" s="4" t="s">
        <v>280</v>
      </c>
      <c r="J45" s="6" t="s">
        <v>429</v>
      </c>
      <c r="K45" s="4" t="s">
        <v>76</v>
      </c>
      <c r="L45" s="4" t="s">
        <v>420</v>
      </c>
      <c r="M45" s="4" t="s">
        <v>67</v>
      </c>
      <c r="N45" s="45" t="s">
        <v>590</v>
      </c>
      <c r="O45" s="4" t="s">
        <v>24</v>
      </c>
      <c r="P45" s="5" t="s">
        <v>87</v>
      </c>
      <c r="Q45" s="7"/>
      <c r="R45" s="7"/>
    </row>
    <row r="46" spans="1:18" ht="29" x14ac:dyDescent="0.35">
      <c r="A46" s="4" t="s">
        <v>281</v>
      </c>
      <c r="B46" s="13">
        <v>9</v>
      </c>
      <c r="C46" s="4" t="s">
        <v>282</v>
      </c>
      <c r="D46" s="4" t="s">
        <v>283</v>
      </c>
      <c r="E46" s="4" t="s">
        <v>20</v>
      </c>
      <c r="F46" s="4" t="s">
        <v>21</v>
      </c>
      <c r="G46" s="4" t="s">
        <v>284</v>
      </c>
      <c r="H46" s="6" t="s">
        <v>384</v>
      </c>
      <c r="I46" s="4" t="s">
        <v>285</v>
      </c>
      <c r="J46" s="4"/>
      <c r="K46" s="4"/>
      <c r="L46" s="4" t="s">
        <v>70</v>
      </c>
      <c r="M46" s="4" t="s">
        <v>458</v>
      </c>
      <c r="N46" s="45" t="s">
        <v>593</v>
      </c>
      <c r="O46" s="4" t="s">
        <v>24</v>
      </c>
      <c r="P46" s="5"/>
      <c r="Q46" s="7"/>
      <c r="R46" s="7"/>
    </row>
    <row r="47" spans="1:18" ht="29" x14ac:dyDescent="0.35">
      <c r="A47" s="4" t="s">
        <v>286</v>
      </c>
      <c r="B47" s="13">
        <v>9</v>
      </c>
      <c r="C47" s="4" t="s">
        <v>282</v>
      </c>
      <c r="D47" s="4" t="s">
        <v>287</v>
      </c>
      <c r="E47" s="4" t="s">
        <v>45</v>
      </c>
      <c r="F47" s="4" t="s">
        <v>21</v>
      </c>
      <c r="G47" s="4" t="s">
        <v>288</v>
      </c>
      <c r="H47" s="6" t="s">
        <v>384</v>
      </c>
      <c r="I47" s="4" t="s">
        <v>289</v>
      </c>
      <c r="J47" s="4"/>
      <c r="K47" s="4"/>
      <c r="L47" s="4"/>
      <c r="M47" s="4"/>
      <c r="N47" s="13"/>
      <c r="O47" s="4" t="s">
        <v>24</v>
      </c>
      <c r="P47" s="5"/>
      <c r="Q47" s="7"/>
      <c r="R47" s="7"/>
    </row>
    <row r="48" spans="1:18" ht="43.5" x14ac:dyDescent="0.35">
      <c r="A48" s="4" t="s">
        <v>290</v>
      </c>
      <c r="B48" s="13">
        <v>9</v>
      </c>
      <c r="C48" s="4" t="s">
        <v>282</v>
      </c>
      <c r="D48" s="4" t="s">
        <v>291</v>
      </c>
      <c r="E48" s="4" t="s">
        <v>20</v>
      </c>
      <c r="F48" s="4" t="s">
        <v>21</v>
      </c>
      <c r="G48" s="4" t="s">
        <v>284</v>
      </c>
      <c r="H48" s="6" t="s">
        <v>385</v>
      </c>
      <c r="I48" s="4" t="s">
        <v>292</v>
      </c>
      <c r="J48" s="4"/>
      <c r="K48" s="4"/>
      <c r="L48" s="4"/>
      <c r="M48" s="4"/>
      <c r="N48" s="13"/>
      <c r="O48" s="4" t="s">
        <v>24</v>
      </c>
      <c r="P48" s="5"/>
      <c r="Q48" s="7"/>
      <c r="R48" s="7"/>
    </row>
    <row r="49" spans="1:18" ht="43.5" x14ac:dyDescent="0.35">
      <c r="A49" s="4" t="s">
        <v>293</v>
      </c>
      <c r="B49" s="13">
        <v>9</v>
      </c>
      <c r="C49" s="4" t="s">
        <v>282</v>
      </c>
      <c r="D49" s="4" t="s">
        <v>294</v>
      </c>
      <c r="E49" s="4" t="s">
        <v>45</v>
      </c>
      <c r="F49" s="4" t="s">
        <v>21</v>
      </c>
      <c r="G49" s="4" t="s">
        <v>284</v>
      </c>
      <c r="H49" s="6" t="s">
        <v>386</v>
      </c>
      <c r="I49" s="4" t="s">
        <v>295</v>
      </c>
      <c r="J49" s="4"/>
      <c r="K49" s="4"/>
      <c r="L49" s="4"/>
      <c r="M49" s="4"/>
      <c r="N49" s="13"/>
      <c r="O49" s="4" t="s">
        <v>24</v>
      </c>
      <c r="P49" s="5"/>
      <c r="Q49" s="7"/>
      <c r="R49" s="7"/>
    </row>
    <row r="50" spans="1:18" ht="29" x14ac:dyDescent="0.35">
      <c r="A50" s="4" t="s">
        <v>296</v>
      </c>
      <c r="B50" s="13">
        <v>9</v>
      </c>
      <c r="C50" s="4" t="s">
        <v>282</v>
      </c>
      <c r="D50" s="4" t="s">
        <v>297</v>
      </c>
      <c r="E50" s="4" t="s">
        <v>45</v>
      </c>
      <c r="F50" s="4" t="s">
        <v>21</v>
      </c>
      <c r="G50" s="4" t="s">
        <v>284</v>
      </c>
      <c r="H50" s="6" t="s">
        <v>387</v>
      </c>
      <c r="I50" s="4" t="s">
        <v>289</v>
      </c>
      <c r="J50" s="4"/>
      <c r="K50" s="4"/>
      <c r="L50" s="4"/>
      <c r="M50" s="4"/>
      <c r="N50" s="13"/>
      <c r="O50" s="4" t="s">
        <v>24</v>
      </c>
      <c r="P50" s="5"/>
      <c r="Q50" s="7"/>
      <c r="R50" s="7"/>
    </row>
    <row r="51" spans="1:18" ht="43.5" x14ac:dyDescent="0.35">
      <c r="A51" s="4" t="s">
        <v>470</v>
      </c>
      <c r="B51" s="13">
        <v>16</v>
      </c>
      <c r="C51" s="4" t="s">
        <v>282</v>
      </c>
      <c r="D51" s="4" t="s">
        <v>471</v>
      </c>
      <c r="E51" s="4" t="s">
        <v>20</v>
      </c>
      <c r="F51" s="4" t="s">
        <v>21</v>
      </c>
      <c r="G51" s="6" t="s">
        <v>475</v>
      </c>
      <c r="H51" s="6" t="s">
        <v>456</v>
      </c>
      <c r="I51" s="4" t="s">
        <v>472</v>
      </c>
      <c r="J51" s="4" t="s">
        <v>473</v>
      </c>
      <c r="K51" s="4" t="s">
        <v>75</v>
      </c>
      <c r="L51" s="4" t="s">
        <v>70</v>
      </c>
      <c r="M51" s="4" t="s">
        <v>69</v>
      </c>
      <c r="N51" s="45" t="s">
        <v>591</v>
      </c>
      <c r="O51" s="4" t="s">
        <v>24</v>
      </c>
      <c r="P51" s="12" t="s">
        <v>96</v>
      </c>
      <c r="Q51" s="7"/>
      <c r="R51" s="4" t="s">
        <v>474</v>
      </c>
    </row>
    <row r="52" spans="1:18" ht="43.5" x14ac:dyDescent="0.35">
      <c r="A52" s="4" t="s">
        <v>299</v>
      </c>
      <c r="B52" s="13">
        <v>10</v>
      </c>
      <c r="C52" s="4" t="s">
        <v>298</v>
      </c>
      <c r="D52" s="4" t="s">
        <v>300</v>
      </c>
      <c r="E52" s="4" t="s">
        <v>20</v>
      </c>
      <c r="F52" s="4" t="s">
        <v>47</v>
      </c>
      <c r="G52" s="4" t="s">
        <v>284</v>
      </c>
      <c r="H52" s="6" t="s">
        <v>388</v>
      </c>
      <c r="I52" s="4" t="s">
        <v>301</v>
      </c>
      <c r="J52" s="4"/>
      <c r="K52" s="4"/>
      <c r="L52" s="4"/>
      <c r="M52" s="4"/>
      <c r="N52" s="7"/>
      <c r="O52" s="4" t="s">
        <v>24</v>
      </c>
      <c r="P52" s="5"/>
      <c r="Q52" s="7"/>
      <c r="R52" s="7"/>
    </row>
    <row r="53" spans="1:18" ht="29" x14ac:dyDescent="0.35">
      <c r="A53" s="4" t="s">
        <v>302</v>
      </c>
      <c r="B53" s="13">
        <v>10</v>
      </c>
      <c r="C53" s="4" t="s">
        <v>298</v>
      </c>
      <c r="D53" s="4" t="s">
        <v>303</v>
      </c>
      <c r="E53" s="4" t="s">
        <v>45</v>
      </c>
      <c r="F53" s="4" t="s">
        <v>47</v>
      </c>
      <c r="G53" s="4" t="s">
        <v>304</v>
      </c>
      <c r="H53" s="6" t="s">
        <v>389</v>
      </c>
      <c r="I53" s="4" t="s">
        <v>295</v>
      </c>
      <c r="J53" s="4"/>
      <c r="K53" s="4"/>
      <c r="L53" s="4"/>
      <c r="M53" s="4"/>
      <c r="N53" s="7"/>
      <c r="O53" s="4" t="s">
        <v>24</v>
      </c>
      <c r="P53" s="5"/>
      <c r="Q53" s="7"/>
      <c r="R53" s="7"/>
    </row>
    <row r="54" spans="1:18" ht="43.5" x14ac:dyDescent="0.35">
      <c r="A54" s="4" t="s">
        <v>305</v>
      </c>
      <c r="B54" s="13">
        <v>11</v>
      </c>
      <c r="C54" s="4" t="s">
        <v>68</v>
      </c>
      <c r="D54" s="4" t="s">
        <v>306</v>
      </c>
      <c r="E54" s="4" t="s">
        <v>20</v>
      </c>
      <c r="F54" s="4" t="s">
        <v>21</v>
      </c>
      <c r="G54" s="4" t="s">
        <v>307</v>
      </c>
      <c r="H54" s="6" t="s">
        <v>390</v>
      </c>
      <c r="I54" s="4" t="s">
        <v>308</v>
      </c>
      <c r="J54" s="4" t="s">
        <v>827</v>
      </c>
      <c r="K54" s="4" t="s">
        <v>75</v>
      </c>
      <c r="L54" s="4"/>
      <c r="M54" s="4"/>
      <c r="N54" s="56" t="s">
        <v>828</v>
      </c>
      <c r="O54" s="4" t="s">
        <v>24</v>
      </c>
      <c r="P54" s="5" t="s">
        <v>110</v>
      </c>
      <c r="Q54" s="7"/>
      <c r="R54" s="7"/>
    </row>
    <row r="55" spans="1:18" ht="43.5" x14ac:dyDescent="0.35">
      <c r="A55" s="4" t="s">
        <v>309</v>
      </c>
      <c r="B55" s="13">
        <v>11</v>
      </c>
      <c r="C55" s="4" t="s">
        <v>68</v>
      </c>
      <c r="D55" s="4" t="s">
        <v>310</v>
      </c>
      <c r="E55" s="4" t="s">
        <v>20</v>
      </c>
      <c r="F55" s="4" t="s">
        <v>21</v>
      </c>
      <c r="G55" s="4" t="s">
        <v>307</v>
      </c>
      <c r="H55" s="6" t="s">
        <v>391</v>
      </c>
      <c r="I55" s="4" t="s">
        <v>308</v>
      </c>
      <c r="J55" s="4" t="s">
        <v>829</v>
      </c>
      <c r="K55" s="4" t="s">
        <v>75</v>
      </c>
      <c r="L55" s="4"/>
      <c r="M55" s="4"/>
      <c r="N55" s="56" t="s">
        <v>830</v>
      </c>
      <c r="O55" s="4" t="s">
        <v>24</v>
      </c>
      <c r="P55" s="5" t="s">
        <v>110</v>
      </c>
      <c r="Q55" s="7"/>
      <c r="R55" s="7"/>
    </row>
    <row r="56" spans="1:18" ht="43.5" x14ac:dyDescent="0.35">
      <c r="A56" s="4" t="s">
        <v>311</v>
      </c>
      <c r="B56" s="13">
        <v>11</v>
      </c>
      <c r="C56" s="4" t="s">
        <v>68</v>
      </c>
      <c r="D56" s="4" t="s">
        <v>312</v>
      </c>
      <c r="E56" s="4" t="s">
        <v>20</v>
      </c>
      <c r="F56" s="4" t="s">
        <v>21</v>
      </c>
      <c r="G56" s="4" t="s">
        <v>307</v>
      </c>
      <c r="H56" s="6" t="s">
        <v>392</v>
      </c>
      <c r="I56" s="4" t="s">
        <v>308</v>
      </c>
      <c r="J56" s="4" t="s">
        <v>831</v>
      </c>
      <c r="K56" s="4" t="s">
        <v>75</v>
      </c>
      <c r="L56" s="4"/>
      <c r="M56" s="4"/>
      <c r="N56" s="56" t="s">
        <v>832</v>
      </c>
      <c r="O56" s="4" t="s">
        <v>24</v>
      </c>
      <c r="P56" s="5" t="s">
        <v>110</v>
      </c>
      <c r="Q56" s="7"/>
      <c r="R56" s="7"/>
    </row>
    <row r="57" spans="1:18" ht="29" x14ac:dyDescent="0.35">
      <c r="A57" s="4" t="s">
        <v>313</v>
      </c>
      <c r="B57" s="13">
        <v>11</v>
      </c>
      <c r="C57" s="4" t="s">
        <v>68</v>
      </c>
      <c r="D57" s="4" t="s">
        <v>314</v>
      </c>
      <c r="E57" s="4" t="s">
        <v>20</v>
      </c>
      <c r="F57" s="4" t="s">
        <v>21</v>
      </c>
      <c r="G57" s="4" t="s">
        <v>172</v>
      </c>
      <c r="H57" s="6" t="s">
        <v>393</v>
      </c>
      <c r="I57" s="4" t="s">
        <v>315</v>
      </c>
      <c r="J57" s="4" t="s">
        <v>833</v>
      </c>
      <c r="K57" s="4" t="s">
        <v>75</v>
      </c>
      <c r="L57" s="4"/>
      <c r="M57" s="4"/>
      <c r="N57" s="56" t="s">
        <v>834</v>
      </c>
      <c r="O57" s="4" t="s">
        <v>24</v>
      </c>
      <c r="P57" s="5" t="s">
        <v>110</v>
      </c>
      <c r="Q57" s="7"/>
      <c r="R57" s="7"/>
    </row>
    <row r="58" spans="1:18" ht="29" x14ac:dyDescent="0.35">
      <c r="A58" s="4" t="s">
        <v>316</v>
      </c>
      <c r="B58" s="13">
        <v>11</v>
      </c>
      <c r="C58" s="4" t="s">
        <v>68</v>
      </c>
      <c r="D58" s="4" t="s">
        <v>317</v>
      </c>
      <c r="E58" s="4" t="s">
        <v>20</v>
      </c>
      <c r="F58" s="4" t="s">
        <v>21</v>
      </c>
      <c r="G58" s="4" t="s">
        <v>172</v>
      </c>
      <c r="H58" s="6" t="s">
        <v>394</v>
      </c>
      <c r="I58" s="4" t="s">
        <v>318</v>
      </c>
      <c r="J58" s="4" t="s">
        <v>835</v>
      </c>
      <c r="K58" s="4" t="s">
        <v>75</v>
      </c>
      <c r="L58" s="4"/>
      <c r="M58" s="4"/>
      <c r="N58" s="56" t="s">
        <v>836</v>
      </c>
      <c r="O58" s="4" t="s">
        <v>24</v>
      </c>
      <c r="P58" s="5" t="s">
        <v>110</v>
      </c>
      <c r="Q58" s="7"/>
      <c r="R58" s="7"/>
    </row>
    <row r="59" spans="1:18" ht="43.5" x14ac:dyDescent="0.35">
      <c r="A59" s="4" t="s">
        <v>319</v>
      </c>
      <c r="B59" s="13">
        <v>13</v>
      </c>
      <c r="C59" s="4" t="s">
        <v>320</v>
      </c>
      <c r="D59" s="4" t="s">
        <v>321</v>
      </c>
      <c r="E59" s="4" t="s">
        <v>20</v>
      </c>
      <c r="F59" s="4" t="s">
        <v>21</v>
      </c>
      <c r="G59" s="4" t="s">
        <v>322</v>
      </c>
      <c r="H59" s="6" t="s">
        <v>395</v>
      </c>
      <c r="I59" s="4" t="s">
        <v>323</v>
      </c>
      <c r="J59" s="4" t="s">
        <v>837</v>
      </c>
      <c r="K59" s="4" t="s">
        <v>75</v>
      </c>
      <c r="L59" s="4"/>
      <c r="M59" s="4"/>
      <c r="N59" s="37" t="s">
        <v>826</v>
      </c>
      <c r="O59" s="4" t="s">
        <v>24</v>
      </c>
      <c r="P59" s="5" t="s">
        <v>110</v>
      </c>
      <c r="Q59" s="7"/>
      <c r="R59" s="7"/>
    </row>
    <row r="60" spans="1:18" ht="43.5" x14ac:dyDescent="0.35">
      <c r="A60" s="4" t="s">
        <v>324</v>
      </c>
      <c r="B60" s="13">
        <v>13</v>
      </c>
      <c r="C60" s="4" t="s">
        <v>320</v>
      </c>
      <c r="D60" s="4" t="s">
        <v>325</v>
      </c>
      <c r="E60" s="4" t="s">
        <v>45</v>
      </c>
      <c r="F60" s="4" t="s">
        <v>21</v>
      </c>
      <c r="G60" s="4" t="s">
        <v>276</v>
      </c>
      <c r="H60" s="6" t="s">
        <v>396</v>
      </c>
      <c r="I60" s="4" t="s">
        <v>326</v>
      </c>
      <c r="J60" s="4"/>
      <c r="K60" s="4"/>
      <c r="L60" s="4"/>
      <c r="M60" s="4"/>
      <c r="N60" s="7"/>
      <c r="O60" s="4" t="s">
        <v>24</v>
      </c>
      <c r="P60" s="5"/>
      <c r="Q60" s="7"/>
      <c r="R60" s="7"/>
    </row>
    <row r="61" spans="1:18" ht="29" x14ac:dyDescent="0.35">
      <c r="A61" s="4" t="s">
        <v>327</v>
      </c>
      <c r="B61" s="13">
        <v>13</v>
      </c>
      <c r="C61" s="4" t="s">
        <v>320</v>
      </c>
      <c r="D61" s="4" t="s">
        <v>328</v>
      </c>
      <c r="E61" s="4" t="s">
        <v>20</v>
      </c>
      <c r="F61" s="4" t="s">
        <v>47</v>
      </c>
      <c r="G61" s="4" t="s">
        <v>172</v>
      </c>
      <c r="H61" s="6" t="s">
        <v>397</v>
      </c>
      <c r="I61" s="4" t="s">
        <v>329</v>
      </c>
      <c r="J61" s="4"/>
      <c r="K61" s="4"/>
      <c r="L61" s="4"/>
      <c r="M61" s="4"/>
      <c r="N61" s="7"/>
      <c r="O61" s="4" t="s">
        <v>24</v>
      </c>
      <c r="P61" s="5"/>
      <c r="Q61" s="7"/>
      <c r="R61" s="7"/>
    </row>
    <row r="62" spans="1:18" ht="29" x14ac:dyDescent="0.35">
      <c r="A62" s="4" t="s">
        <v>330</v>
      </c>
      <c r="B62" s="13">
        <v>17</v>
      </c>
      <c r="C62" s="4" t="s">
        <v>331</v>
      </c>
      <c r="D62" s="4" t="s">
        <v>332</v>
      </c>
      <c r="E62" s="4" t="s">
        <v>20</v>
      </c>
      <c r="F62" s="4" t="s">
        <v>47</v>
      </c>
      <c r="G62" s="4" t="s">
        <v>172</v>
      </c>
      <c r="H62" s="6" t="s">
        <v>398</v>
      </c>
      <c r="I62" s="4" t="s">
        <v>333</v>
      </c>
      <c r="J62" s="4"/>
      <c r="K62" s="4"/>
      <c r="L62" s="4"/>
      <c r="M62" s="4"/>
      <c r="N62" s="7"/>
      <c r="O62" s="4" t="s">
        <v>24</v>
      </c>
      <c r="P62" s="5"/>
      <c r="Q62" s="7"/>
      <c r="R62" s="7"/>
    </row>
    <row r="63" spans="1:18" ht="43.5" x14ac:dyDescent="0.35">
      <c r="A63" s="4" t="s">
        <v>334</v>
      </c>
      <c r="B63" s="13">
        <v>17</v>
      </c>
      <c r="C63" s="4" t="s">
        <v>331</v>
      </c>
      <c r="D63" s="4" t="s">
        <v>335</v>
      </c>
      <c r="E63" s="4" t="s">
        <v>20</v>
      </c>
      <c r="F63" s="4" t="s">
        <v>47</v>
      </c>
      <c r="G63" s="4" t="s">
        <v>284</v>
      </c>
      <c r="H63" s="6" t="s">
        <v>399</v>
      </c>
      <c r="I63" s="4" t="s">
        <v>336</v>
      </c>
      <c r="J63" s="4"/>
      <c r="K63" s="4"/>
      <c r="L63" s="4"/>
      <c r="M63" s="4"/>
      <c r="N63" s="7"/>
      <c r="O63" s="4" t="s">
        <v>24</v>
      </c>
      <c r="P63" s="5"/>
      <c r="Q63" s="7"/>
      <c r="R63" s="7"/>
    </row>
    <row r="64" spans="1:18" ht="29" x14ac:dyDescent="0.35">
      <c r="A64" s="4" t="s">
        <v>337</v>
      </c>
      <c r="B64" s="13">
        <v>21</v>
      </c>
      <c r="C64" s="4" t="s">
        <v>338</v>
      </c>
      <c r="D64" s="4" t="s">
        <v>339</v>
      </c>
      <c r="E64" s="4" t="s">
        <v>20</v>
      </c>
      <c r="F64" s="4" t="s">
        <v>21</v>
      </c>
      <c r="G64" s="4" t="s">
        <v>172</v>
      </c>
      <c r="H64" s="6" t="s">
        <v>400</v>
      </c>
      <c r="I64" s="4" t="s">
        <v>340</v>
      </c>
      <c r="J64" s="4" t="s">
        <v>857</v>
      </c>
      <c r="K64" s="4" t="s">
        <v>75</v>
      </c>
      <c r="L64" s="57">
        <v>46318</v>
      </c>
      <c r="M64" s="4" t="s">
        <v>850</v>
      </c>
      <c r="N64" s="56" t="s">
        <v>844</v>
      </c>
      <c r="O64" s="4" t="s">
        <v>24</v>
      </c>
      <c r="P64" s="5"/>
      <c r="Q64" s="7"/>
      <c r="R64" s="7"/>
    </row>
    <row r="65" spans="1:18" ht="29" x14ac:dyDescent="0.35">
      <c r="A65" s="4" t="s">
        <v>341</v>
      </c>
      <c r="B65" s="13">
        <v>21</v>
      </c>
      <c r="C65" s="4" t="s">
        <v>338</v>
      </c>
      <c r="D65" s="4" t="s">
        <v>342</v>
      </c>
      <c r="E65" s="4" t="s">
        <v>20</v>
      </c>
      <c r="F65" s="4" t="s">
        <v>47</v>
      </c>
      <c r="G65" s="4" t="s">
        <v>172</v>
      </c>
      <c r="H65" s="6" t="s">
        <v>401</v>
      </c>
      <c r="I65" s="4" t="s">
        <v>343</v>
      </c>
      <c r="J65" s="4"/>
      <c r="K65" s="4"/>
      <c r="L65" s="4"/>
      <c r="M65" s="4"/>
      <c r="N65" s="7"/>
      <c r="O65" s="4" t="s">
        <v>24</v>
      </c>
      <c r="P65" s="5"/>
      <c r="Q65" s="7"/>
      <c r="R65" s="7"/>
    </row>
    <row r="66" spans="1:18" ht="43.5" x14ac:dyDescent="0.35">
      <c r="A66" s="4" t="s">
        <v>344</v>
      </c>
      <c r="B66" s="13">
        <v>21</v>
      </c>
      <c r="C66" s="4" t="s">
        <v>338</v>
      </c>
      <c r="D66" s="4" t="s">
        <v>345</v>
      </c>
      <c r="E66" s="4" t="s">
        <v>20</v>
      </c>
      <c r="F66" s="4" t="s">
        <v>47</v>
      </c>
      <c r="G66" s="4" t="s">
        <v>284</v>
      </c>
      <c r="H66" s="6" t="s">
        <v>402</v>
      </c>
      <c r="I66" s="4" t="s">
        <v>346</v>
      </c>
      <c r="J66" s="4"/>
      <c r="K66" s="4"/>
      <c r="L66" s="4"/>
      <c r="M66" s="4"/>
      <c r="N66" s="7"/>
      <c r="O66" s="4" t="s">
        <v>24</v>
      </c>
      <c r="P66" s="5"/>
      <c r="Q66" s="7"/>
      <c r="R66" s="7"/>
    </row>
    <row r="67" spans="1:18" ht="29" x14ac:dyDescent="0.35">
      <c r="A67" s="4" t="s">
        <v>347</v>
      </c>
      <c r="B67" s="13">
        <v>15</v>
      </c>
      <c r="C67" s="4" t="s">
        <v>164</v>
      </c>
      <c r="D67" s="4" t="s">
        <v>348</v>
      </c>
      <c r="E67" s="4" t="s">
        <v>20</v>
      </c>
      <c r="F67" s="4" t="s">
        <v>21</v>
      </c>
      <c r="G67" s="4" t="s">
        <v>172</v>
      </c>
      <c r="H67" s="6" t="s">
        <v>403</v>
      </c>
      <c r="I67" s="4" t="s">
        <v>349</v>
      </c>
      <c r="J67" s="6" t="s">
        <v>484</v>
      </c>
      <c r="K67" s="4" t="s">
        <v>75</v>
      </c>
      <c r="L67" s="4"/>
      <c r="M67" s="4"/>
      <c r="N67" s="7"/>
      <c r="O67" s="4" t="s">
        <v>24</v>
      </c>
      <c r="P67" s="5"/>
      <c r="Q67" s="7"/>
      <c r="R67" s="6" t="s">
        <v>485</v>
      </c>
    </row>
    <row r="68" spans="1:18" ht="29" x14ac:dyDescent="0.35">
      <c r="A68" s="4" t="s">
        <v>350</v>
      </c>
      <c r="B68" s="13">
        <v>19</v>
      </c>
      <c r="C68" s="4" t="s">
        <v>164</v>
      </c>
      <c r="D68" s="4" t="s">
        <v>351</v>
      </c>
      <c r="E68" s="4" t="s">
        <v>20</v>
      </c>
      <c r="F68" s="4" t="s">
        <v>21</v>
      </c>
      <c r="G68" s="4" t="s">
        <v>172</v>
      </c>
      <c r="H68" s="6" t="s">
        <v>404</v>
      </c>
      <c r="I68" s="4" t="s">
        <v>352</v>
      </c>
      <c r="J68" s="4"/>
      <c r="K68" s="4"/>
      <c r="L68" s="4"/>
      <c r="M68" s="4"/>
      <c r="N68" s="7"/>
      <c r="O68" s="4" t="s">
        <v>24</v>
      </c>
      <c r="P68" s="5"/>
      <c r="Q68" s="7"/>
      <c r="R68" s="7"/>
    </row>
    <row r="69" spans="1:18" ht="29" x14ac:dyDescent="0.35">
      <c r="A69" s="4" t="s">
        <v>353</v>
      </c>
      <c r="B69" s="13">
        <v>19</v>
      </c>
      <c r="C69" s="4" t="s">
        <v>164</v>
      </c>
      <c r="D69" s="4" t="s">
        <v>354</v>
      </c>
      <c r="E69" s="4" t="s">
        <v>20</v>
      </c>
      <c r="F69" s="4" t="s">
        <v>47</v>
      </c>
      <c r="G69" s="4" t="s">
        <v>172</v>
      </c>
      <c r="H69" s="6" t="s">
        <v>405</v>
      </c>
      <c r="I69" s="4" t="s">
        <v>355</v>
      </c>
      <c r="J69" s="4"/>
      <c r="K69" s="4"/>
      <c r="L69" s="4"/>
      <c r="M69" s="4"/>
      <c r="N69" s="7"/>
      <c r="O69" s="4" t="s">
        <v>24</v>
      </c>
      <c r="P69" s="5"/>
      <c r="Q69" s="7"/>
      <c r="R69" s="7"/>
    </row>
    <row r="70" spans="1:18" ht="29" x14ac:dyDescent="0.35">
      <c r="A70" s="4" t="s">
        <v>356</v>
      </c>
      <c r="B70" s="13">
        <v>15</v>
      </c>
      <c r="C70" s="4" t="s">
        <v>164</v>
      </c>
      <c r="D70" s="4" t="s">
        <v>357</v>
      </c>
      <c r="E70" s="4" t="s">
        <v>20</v>
      </c>
      <c r="F70" s="4" t="s">
        <v>21</v>
      </c>
      <c r="G70" s="4" t="s">
        <v>172</v>
      </c>
      <c r="H70" s="6" t="s">
        <v>406</v>
      </c>
      <c r="I70" s="4" t="s">
        <v>358</v>
      </c>
      <c r="J70" s="6" t="s">
        <v>483</v>
      </c>
      <c r="K70" s="4" t="s">
        <v>75</v>
      </c>
      <c r="L70" s="4"/>
      <c r="M70" s="4"/>
      <c r="N70" s="7"/>
      <c r="O70" s="4" t="s">
        <v>24</v>
      </c>
      <c r="P70" s="5" t="s">
        <v>100</v>
      </c>
      <c r="Q70" s="7"/>
      <c r="R70" s="7"/>
    </row>
    <row r="71" spans="1:18" ht="29" x14ac:dyDescent="0.35">
      <c r="A71" s="4" t="s">
        <v>359</v>
      </c>
      <c r="B71" s="13">
        <v>24</v>
      </c>
      <c r="C71" s="4" t="s">
        <v>164</v>
      </c>
      <c r="D71" s="4" t="s">
        <v>360</v>
      </c>
      <c r="E71" s="4" t="s">
        <v>20</v>
      </c>
      <c r="F71" s="4" t="s">
        <v>47</v>
      </c>
      <c r="G71" s="4" t="s">
        <v>172</v>
      </c>
      <c r="H71" s="6" t="s">
        <v>407</v>
      </c>
      <c r="I71" s="4" t="s">
        <v>361</v>
      </c>
      <c r="J71" s="4"/>
      <c r="K71" s="4"/>
      <c r="L71" s="4"/>
      <c r="M71" s="4"/>
      <c r="N71" s="7"/>
      <c r="O71" s="4" t="s">
        <v>24</v>
      </c>
      <c r="P71" s="5"/>
      <c r="Q71" s="7"/>
      <c r="R71" s="7"/>
    </row>
    <row r="72" spans="1:18" ht="29" x14ac:dyDescent="0.35">
      <c r="A72" s="4" t="s">
        <v>530</v>
      </c>
      <c r="B72" s="10">
        <v>8</v>
      </c>
      <c r="C72" s="4" t="s">
        <v>531</v>
      </c>
      <c r="D72" s="6" t="s">
        <v>532</v>
      </c>
      <c r="E72" s="4" t="s">
        <v>20</v>
      </c>
      <c r="F72" s="4" t="s">
        <v>21</v>
      </c>
      <c r="G72" s="6" t="s">
        <v>533</v>
      </c>
      <c r="H72" s="6" t="s">
        <v>534</v>
      </c>
      <c r="I72" s="6" t="s">
        <v>535</v>
      </c>
      <c r="J72" s="6" t="s">
        <v>536</v>
      </c>
      <c r="K72" s="36" t="s">
        <v>75</v>
      </c>
      <c r="L72" s="10"/>
      <c r="M72" s="10"/>
      <c r="N72" s="45" t="s">
        <v>600</v>
      </c>
      <c r="O72" s="4" t="s">
        <v>24</v>
      </c>
      <c r="P72" s="10" t="s">
        <v>104</v>
      </c>
      <c r="Q72" s="4"/>
      <c r="R72" s="6" t="s">
        <v>537</v>
      </c>
    </row>
    <row r="73" spans="1:18" ht="29" x14ac:dyDescent="0.35">
      <c r="A73" s="4" t="s">
        <v>538</v>
      </c>
      <c r="B73" s="10">
        <v>8</v>
      </c>
      <c r="C73" s="4" t="s">
        <v>531</v>
      </c>
      <c r="D73" s="6" t="s">
        <v>539</v>
      </c>
      <c r="E73" s="4" t="s">
        <v>20</v>
      </c>
      <c r="F73" s="4" t="s">
        <v>47</v>
      </c>
      <c r="G73" s="6" t="s">
        <v>540</v>
      </c>
      <c r="H73" s="6" t="s">
        <v>541</v>
      </c>
      <c r="I73" s="6" t="s">
        <v>542</v>
      </c>
      <c r="J73" s="6" t="s">
        <v>543</v>
      </c>
      <c r="K73" s="36" t="s">
        <v>75</v>
      </c>
      <c r="L73" s="10"/>
      <c r="M73" s="10"/>
      <c r="N73" s="45" t="s">
        <v>601</v>
      </c>
      <c r="O73" s="4" t="s">
        <v>24</v>
      </c>
      <c r="P73" s="10" t="s">
        <v>104</v>
      </c>
      <c r="Q73" s="4"/>
      <c r="R73" s="6" t="s">
        <v>544</v>
      </c>
    </row>
    <row r="74" spans="1:18" ht="29" x14ac:dyDescent="0.35">
      <c r="A74" s="4" t="s">
        <v>545</v>
      </c>
      <c r="B74" s="10">
        <v>8</v>
      </c>
      <c r="C74" s="4" t="s">
        <v>531</v>
      </c>
      <c r="D74" s="6" t="s">
        <v>546</v>
      </c>
      <c r="E74" s="4" t="s">
        <v>20</v>
      </c>
      <c r="F74" s="4" t="s">
        <v>47</v>
      </c>
      <c r="G74" s="6" t="s">
        <v>547</v>
      </c>
      <c r="H74" s="6" t="s">
        <v>548</v>
      </c>
      <c r="I74" s="6" t="s">
        <v>549</v>
      </c>
      <c r="J74" s="6" t="s">
        <v>550</v>
      </c>
      <c r="K74" s="36" t="s">
        <v>75</v>
      </c>
      <c r="L74" s="10"/>
      <c r="M74" s="10"/>
      <c r="N74" s="45" t="s">
        <v>602</v>
      </c>
      <c r="O74" s="4" t="s">
        <v>24</v>
      </c>
      <c r="P74" s="10" t="s">
        <v>104</v>
      </c>
      <c r="Q74" s="4"/>
      <c r="R74" s="6" t="s">
        <v>551</v>
      </c>
    </row>
    <row r="75" spans="1:18" ht="29" x14ac:dyDescent="0.35">
      <c r="A75" s="4" t="s">
        <v>552</v>
      </c>
      <c r="B75" s="10">
        <v>8</v>
      </c>
      <c r="C75" s="4" t="s">
        <v>531</v>
      </c>
      <c r="D75" s="6" t="s">
        <v>553</v>
      </c>
      <c r="E75" s="4" t="s">
        <v>46</v>
      </c>
      <c r="F75" s="4" t="s">
        <v>21</v>
      </c>
      <c r="G75" s="6" t="s">
        <v>554</v>
      </c>
      <c r="H75" s="6" t="s">
        <v>555</v>
      </c>
      <c r="I75" s="6" t="s">
        <v>556</v>
      </c>
      <c r="J75" s="6" t="s">
        <v>557</v>
      </c>
      <c r="K75" s="36" t="s">
        <v>75</v>
      </c>
      <c r="L75" s="10"/>
      <c r="M75" s="10"/>
      <c r="N75" s="45" t="s">
        <v>603</v>
      </c>
      <c r="O75" s="4" t="s">
        <v>24</v>
      </c>
      <c r="P75" s="10" t="s">
        <v>104</v>
      </c>
      <c r="Q75" s="4"/>
      <c r="R75" s="6" t="s">
        <v>558</v>
      </c>
    </row>
    <row r="76" spans="1:18" ht="29" x14ac:dyDescent="0.35">
      <c r="A76" s="4" t="s">
        <v>559</v>
      </c>
      <c r="B76" s="10">
        <v>8</v>
      </c>
      <c r="C76" s="4" t="s">
        <v>531</v>
      </c>
      <c r="D76" s="6" t="s">
        <v>560</v>
      </c>
      <c r="E76" s="4" t="s">
        <v>20</v>
      </c>
      <c r="F76" s="4" t="s">
        <v>47</v>
      </c>
      <c r="G76" s="6" t="s">
        <v>561</v>
      </c>
      <c r="H76" s="6" t="s">
        <v>562</v>
      </c>
      <c r="I76" s="6" t="s">
        <v>563</v>
      </c>
      <c r="J76" s="6" t="s">
        <v>564</v>
      </c>
      <c r="K76" s="36" t="s">
        <v>75</v>
      </c>
      <c r="L76" s="10" t="s">
        <v>420</v>
      </c>
      <c r="M76" s="10" t="s">
        <v>488</v>
      </c>
      <c r="N76" s="45" t="s">
        <v>598</v>
      </c>
      <c r="O76" s="4" t="s">
        <v>24</v>
      </c>
      <c r="P76" s="10" t="s">
        <v>104</v>
      </c>
      <c r="Q76" s="4"/>
      <c r="R76" s="6" t="s">
        <v>565</v>
      </c>
    </row>
    <row r="77" spans="1:18" ht="29" x14ac:dyDescent="0.35">
      <c r="A77" s="4" t="s">
        <v>566</v>
      </c>
      <c r="B77" s="10">
        <v>8</v>
      </c>
      <c r="C77" s="4" t="s">
        <v>531</v>
      </c>
      <c r="D77" s="6" t="s">
        <v>567</v>
      </c>
      <c r="E77" s="4" t="s">
        <v>20</v>
      </c>
      <c r="F77" s="4" t="s">
        <v>21</v>
      </c>
      <c r="G77" s="6" t="s">
        <v>568</v>
      </c>
      <c r="H77" s="6" t="s">
        <v>569</v>
      </c>
      <c r="I77" s="6" t="s">
        <v>570</v>
      </c>
      <c r="J77" s="6" t="s">
        <v>571</v>
      </c>
      <c r="K77" s="36" t="s">
        <v>75</v>
      </c>
      <c r="L77" s="10" t="s">
        <v>492</v>
      </c>
      <c r="M77" s="10" t="s">
        <v>490</v>
      </c>
      <c r="N77" s="45" t="s">
        <v>599</v>
      </c>
      <c r="O77" s="4" t="s">
        <v>24</v>
      </c>
      <c r="P77" s="10" t="s">
        <v>104</v>
      </c>
      <c r="Q77" s="4"/>
      <c r="R77" s="6" t="s">
        <v>572</v>
      </c>
    </row>
    <row r="78" spans="1:18" ht="29" x14ac:dyDescent="0.35">
      <c r="A78" s="4" t="s">
        <v>573</v>
      </c>
      <c r="B78" s="10">
        <v>8</v>
      </c>
      <c r="C78" s="4" t="s">
        <v>531</v>
      </c>
      <c r="D78" s="6" t="s">
        <v>574</v>
      </c>
      <c r="E78" s="4" t="s">
        <v>20</v>
      </c>
      <c r="F78" s="4" t="s">
        <v>47</v>
      </c>
      <c r="G78" s="6" t="s">
        <v>575</v>
      </c>
      <c r="H78" s="6" t="s">
        <v>576</v>
      </c>
      <c r="I78" s="6" t="s">
        <v>577</v>
      </c>
      <c r="J78" s="6" t="s">
        <v>578</v>
      </c>
      <c r="K78" s="36" t="s">
        <v>75</v>
      </c>
      <c r="L78" s="10"/>
      <c r="M78" s="10"/>
      <c r="N78" s="45" t="s">
        <v>604</v>
      </c>
      <c r="O78" s="4" t="s">
        <v>24</v>
      </c>
      <c r="P78" s="10" t="s">
        <v>104</v>
      </c>
      <c r="Q78" s="4"/>
      <c r="R78" s="6" t="s">
        <v>579</v>
      </c>
    </row>
    <row r="79" spans="1:18" ht="43.5" x14ac:dyDescent="0.35">
      <c r="A79" s="6" t="s">
        <v>624</v>
      </c>
      <c r="B79" s="6">
        <v>9</v>
      </c>
      <c r="C79" s="6" t="s">
        <v>531</v>
      </c>
      <c r="D79" s="6" t="s">
        <v>625</v>
      </c>
      <c r="E79" s="6" t="s">
        <v>626</v>
      </c>
      <c r="F79" s="6" t="s">
        <v>21</v>
      </c>
      <c r="G79" s="6" t="s">
        <v>627</v>
      </c>
      <c r="H79" s="6" t="s">
        <v>628</v>
      </c>
      <c r="I79" s="6" t="s">
        <v>629</v>
      </c>
      <c r="J79" s="6" t="s">
        <v>630</v>
      </c>
      <c r="K79" s="46" t="s">
        <v>75</v>
      </c>
      <c r="L79" s="8"/>
      <c r="M79" s="8"/>
      <c r="N79" s="47" t="s">
        <v>631</v>
      </c>
      <c r="O79" s="6" t="s">
        <v>24</v>
      </c>
      <c r="P79" s="8" t="s">
        <v>104</v>
      </c>
      <c r="Q79" s="6" t="s">
        <v>632</v>
      </c>
      <c r="R79" s="6" t="s">
        <v>633</v>
      </c>
    </row>
    <row r="80" spans="1:18" ht="43.5" x14ac:dyDescent="0.35">
      <c r="A80" s="6" t="s">
        <v>634</v>
      </c>
      <c r="B80" s="6">
        <v>9</v>
      </c>
      <c r="C80" s="6" t="s">
        <v>531</v>
      </c>
      <c r="D80" s="6" t="s">
        <v>635</v>
      </c>
      <c r="E80" s="6" t="s">
        <v>636</v>
      </c>
      <c r="F80" s="6" t="s">
        <v>21</v>
      </c>
      <c r="G80" s="6" t="s">
        <v>637</v>
      </c>
      <c r="H80" s="6" t="s">
        <v>638</v>
      </c>
      <c r="I80" s="6" t="s">
        <v>639</v>
      </c>
      <c r="J80" s="6" t="s">
        <v>640</v>
      </c>
      <c r="K80" s="46" t="s">
        <v>75</v>
      </c>
      <c r="L80" s="8"/>
      <c r="M80" s="8"/>
      <c r="N80" s="47" t="s">
        <v>641</v>
      </c>
      <c r="O80" s="6" t="s">
        <v>24</v>
      </c>
      <c r="P80" s="8" t="s">
        <v>104</v>
      </c>
      <c r="Q80" s="6" t="s">
        <v>632</v>
      </c>
      <c r="R80" s="6" t="s">
        <v>642</v>
      </c>
    </row>
    <row r="81" spans="1:18" ht="43.5" x14ac:dyDescent="0.35">
      <c r="A81" s="6" t="s">
        <v>643</v>
      </c>
      <c r="B81" s="6">
        <v>9</v>
      </c>
      <c r="C81" s="6" t="s">
        <v>531</v>
      </c>
      <c r="D81" s="6" t="s">
        <v>644</v>
      </c>
      <c r="E81" s="6" t="s">
        <v>636</v>
      </c>
      <c r="F81" s="6" t="s">
        <v>21</v>
      </c>
      <c r="G81" s="6" t="s">
        <v>645</v>
      </c>
      <c r="H81" s="6" t="s">
        <v>646</v>
      </c>
      <c r="I81" s="6" t="s">
        <v>647</v>
      </c>
      <c r="J81" s="6" t="s">
        <v>648</v>
      </c>
      <c r="K81" s="46" t="s">
        <v>75</v>
      </c>
      <c r="L81" s="8"/>
      <c r="M81" s="8"/>
      <c r="N81" s="47" t="s">
        <v>649</v>
      </c>
      <c r="O81" s="6" t="s">
        <v>24</v>
      </c>
      <c r="P81" s="8" t="s">
        <v>104</v>
      </c>
      <c r="Q81" s="6" t="s">
        <v>632</v>
      </c>
      <c r="R81" s="6" t="s">
        <v>650</v>
      </c>
    </row>
    <row r="82" spans="1:18" ht="43.5" x14ac:dyDescent="0.35">
      <c r="A82" s="6" t="s">
        <v>651</v>
      </c>
      <c r="B82" s="6">
        <v>9</v>
      </c>
      <c r="C82" s="6" t="s">
        <v>531</v>
      </c>
      <c r="D82" s="6" t="s">
        <v>652</v>
      </c>
      <c r="E82" s="6" t="s">
        <v>653</v>
      </c>
      <c r="F82" s="6" t="s">
        <v>47</v>
      </c>
      <c r="G82" s="6" t="s">
        <v>654</v>
      </c>
      <c r="H82" s="6" t="s">
        <v>655</v>
      </c>
      <c r="I82" s="6" t="s">
        <v>656</v>
      </c>
      <c r="J82" s="6" t="s">
        <v>657</v>
      </c>
      <c r="K82" s="46" t="s">
        <v>75</v>
      </c>
      <c r="L82" s="8"/>
      <c r="M82" s="8"/>
      <c r="N82" s="47" t="s">
        <v>658</v>
      </c>
      <c r="O82" s="6" t="s">
        <v>24</v>
      </c>
      <c r="P82" s="8" t="s">
        <v>104</v>
      </c>
      <c r="Q82" s="6" t="s">
        <v>632</v>
      </c>
      <c r="R82" s="6" t="s">
        <v>659</v>
      </c>
    </row>
    <row r="83" spans="1:18" ht="43.5" x14ac:dyDescent="0.35">
      <c r="A83" s="6" t="s">
        <v>660</v>
      </c>
      <c r="B83" s="6">
        <v>9</v>
      </c>
      <c r="C83" s="6" t="s">
        <v>531</v>
      </c>
      <c r="D83" s="6" t="s">
        <v>661</v>
      </c>
      <c r="E83" s="6" t="s">
        <v>636</v>
      </c>
      <c r="F83" s="6" t="s">
        <v>21</v>
      </c>
      <c r="G83" s="6" t="s">
        <v>662</v>
      </c>
      <c r="H83" s="6" t="s">
        <v>663</v>
      </c>
      <c r="I83" s="6" t="s">
        <v>664</v>
      </c>
      <c r="J83" s="6" t="s">
        <v>665</v>
      </c>
      <c r="K83" s="46" t="s">
        <v>75</v>
      </c>
      <c r="L83" s="8"/>
      <c r="M83" s="8"/>
      <c r="N83" s="47" t="s">
        <v>666</v>
      </c>
      <c r="O83" s="6" t="s">
        <v>24</v>
      </c>
      <c r="P83" s="8" t="s">
        <v>104</v>
      </c>
      <c r="Q83" s="6" t="s">
        <v>632</v>
      </c>
      <c r="R83" s="6" t="s">
        <v>667</v>
      </c>
    </row>
    <row r="84" spans="1:18" ht="43.5" x14ac:dyDescent="0.35">
      <c r="A84" s="6" t="s">
        <v>668</v>
      </c>
      <c r="B84" s="6">
        <v>9</v>
      </c>
      <c r="C84" s="6" t="s">
        <v>531</v>
      </c>
      <c r="D84" s="6" t="s">
        <v>669</v>
      </c>
      <c r="E84" s="6" t="s">
        <v>670</v>
      </c>
      <c r="F84" s="6" t="s">
        <v>21</v>
      </c>
      <c r="G84" s="6" t="s">
        <v>671</v>
      </c>
      <c r="H84" s="6" t="s">
        <v>672</v>
      </c>
      <c r="I84" s="6" t="s">
        <v>673</v>
      </c>
      <c r="J84" s="6" t="s">
        <v>674</v>
      </c>
      <c r="K84" s="46" t="s">
        <v>75</v>
      </c>
      <c r="L84" s="8"/>
      <c r="M84" s="8"/>
      <c r="N84" s="47" t="s">
        <v>675</v>
      </c>
      <c r="O84" s="6" t="s">
        <v>24</v>
      </c>
      <c r="P84" s="8" t="s">
        <v>104</v>
      </c>
      <c r="Q84" s="6" t="s">
        <v>632</v>
      </c>
      <c r="R84" s="6" t="s">
        <v>676</v>
      </c>
    </row>
    <row r="85" spans="1:18" ht="43.5" x14ac:dyDescent="0.35">
      <c r="A85" s="6" t="s">
        <v>677</v>
      </c>
      <c r="B85" s="6">
        <v>9</v>
      </c>
      <c r="C85" s="6" t="s">
        <v>531</v>
      </c>
      <c r="D85" s="6" t="s">
        <v>678</v>
      </c>
      <c r="E85" s="6" t="s">
        <v>679</v>
      </c>
      <c r="F85" s="6" t="s">
        <v>47</v>
      </c>
      <c r="G85" s="6" t="s">
        <v>680</v>
      </c>
      <c r="H85" s="6" t="s">
        <v>681</v>
      </c>
      <c r="I85" s="6" t="s">
        <v>682</v>
      </c>
      <c r="J85" s="6" t="s">
        <v>683</v>
      </c>
      <c r="K85" s="46" t="s">
        <v>75</v>
      </c>
      <c r="L85" s="8"/>
      <c r="M85" s="8"/>
      <c r="N85" s="47" t="s">
        <v>684</v>
      </c>
      <c r="O85" s="6" t="s">
        <v>24</v>
      </c>
      <c r="P85" s="8" t="s">
        <v>104</v>
      </c>
      <c r="Q85" s="6" t="s">
        <v>632</v>
      </c>
      <c r="R85" s="6" t="s">
        <v>685</v>
      </c>
    </row>
    <row r="86" spans="1:18" ht="43.5" x14ac:dyDescent="0.35">
      <c r="A86" s="6" t="s">
        <v>686</v>
      </c>
      <c r="B86" s="6">
        <v>9</v>
      </c>
      <c r="C86" s="6" t="s">
        <v>531</v>
      </c>
      <c r="D86" s="6" t="s">
        <v>687</v>
      </c>
      <c r="E86" s="6" t="s">
        <v>679</v>
      </c>
      <c r="F86" s="6" t="s">
        <v>47</v>
      </c>
      <c r="G86" s="6" t="s">
        <v>688</v>
      </c>
      <c r="H86" s="6" t="s">
        <v>689</v>
      </c>
      <c r="I86" s="6" t="s">
        <v>690</v>
      </c>
      <c r="J86" s="6" t="s">
        <v>691</v>
      </c>
      <c r="K86" s="46" t="s">
        <v>75</v>
      </c>
      <c r="L86" s="8"/>
      <c r="M86" s="8"/>
      <c r="N86" s="47" t="s">
        <v>692</v>
      </c>
      <c r="O86" s="6" t="s">
        <v>24</v>
      </c>
      <c r="P86" s="8" t="s">
        <v>104</v>
      </c>
      <c r="Q86" s="6" t="s">
        <v>632</v>
      </c>
      <c r="R86" s="6" t="s">
        <v>693</v>
      </c>
    </row>
    <row r="87" spans="1:18" ht="72.5" x14ac:dyDescent="0.35">
      <c r="A87" s="6" t="s">
        <v>753</v>
      </c>
      <c r="B87" s="6">
        <v>10</v>
      </c>
      <c r="C87" s="6" t="s">
        <v>35</v>
      </c>
      <c r="D87" s="6" t="s">
        <v>754</v>
      </c>
      <c r="E87" s="6" t="s">
        <v>20</v>
      </c>
      <c r="F87" s="6" t="s">
        <v>21</v>
      </c>
      <c r="G87" s="6" t="s">
        <v>755</v>
      </c>
      <c r="H87" s="6" t="s">
        <v>756</v>
      </c>
      <c r="I87" s="6" t="s">
        <v>757</v>
      </c>
      <c r="J87" s="6" t="s">
        <v>758</v>
      </c>
      <c r="K87" s="46" t="s">
        <v>75</v>
      </c>
      <c r="L87" s="8"/>
      <c r="M87" s="8"/>
      <c r="N87" s="47" t="s">
        <v>752</v>
      </c>
      <c r="O87" s="6" t="s">
        <v>24</v>
      </c>
      <c r="P87" s="8" t="s">
        <v>107</v>
      </c>
      <c r="Q87" s="6" t="s">
        <v>759</v>
      </c>
      <c r="R87" s="6" t="s">
        <v>760</v>
      </c>
    </row>
    <row r="88" spans="1:18" ht="72.5" x14ac:dyDescent="0.35">
      <c r="A88" s="6" t="s">
        <v>761</v>
      </c>
      <c r="B88" s="6">
        <v>10</v>
      </c>
      <c r="C88" s="6" t="s">
        <v>35</v>
      </c>
      <c r="D88" s="6" t="s">
        <v>762</v>
      </c>
      <c r="E88" s="6" t="s">
        <v>20</v>
      </c>
      <c r="F88" s="6" t="s">
        <v>21</v>
      </c>
      <c r="G88" s="6" t="s">
        <v>763</v>
      </c>
      <c r="H88" s="6" t="s">
        <v>764</v>
      </c>
      <c r="I88" s="6" t="s">
        <v>765</v>
      </c>
      <c r="J88" s="6" t="s">
        <v>766</v>
      </c>
      <c r="K88" s="46" t="s">
        <v>75</v>
      </c>
      <c r="L88" s="8"/>
      <c r="M88" s="8"/>
      <c r="N88" s="47" t="s">
        <v>767</v>
      </c>
      <c r="O88" s="6" t="s">
        <v>24</v>
      </c>
      <c r="P88" s="8" t="s">
        <v>107</v>
      </c>
      <c r="Q88" s="6" t="s">
        <v>759</v>
      </c>
      <c r="R88" s="6" t="s">
        <v>760</v>
      </c>
    </row>
    <row r="89" spans="1:18" ht="72.5" x14ac:dyDescent="0.35">
      <c r="A89" s="6" t="s">
        <v>768</v>
      </c>
      <c r="B89" s="6">
        <v>10</v>
      </c>
      <c r="C89" s="6" t="s">
        <v>35</v>
      </c>
      <c r="D89" s="6" t="s">
        <v>769</v>
      </c>
      <c r="E89" s="6" t="s">
        <v>20</v>
      </c>
      <c r="F89" s="6" t="s">
        <v>21</v>
      </c>
      <c r="G89" s="6" t="s">
        <v>770</v>
      </c>
      <c r="H89" s="6" t="s">
        <v>771</v>
      </c>
      <c r="I89" s="6" t="s">
        <v>772</v>
      </c>
      <c r="J89" s="6" t="s">
        <v>773</v>
      </c>
      <c r="K89" s="46" t="s">
        <v>75</v>
      </c>
      <c r="L89" s="8"/>
      <c r="M89" s="8"/>
      <c r="N89" s="47" t="s">
        <v>710</v>
      </c>
      <c r="O89" s="6" t="s">
        <v>24</v>
      </c>
      <c r="P89" s="8" t="s">
        <v>107</v>
      </c>
      <c r="Q89" s="6" t="s">
        <v>759</v>
      </c>
      <c r="R89" s="6" t="s">
        <v>760</v>
      </c>
    </row>
    <row r="90" spans="1:18" ht="72.5" x14ac:dyDescent="0.35">
      <c r="A90" s="6" t="s">
        <v>774</v>
      </c>
      <c r="B90" s="6">
        <v>10</v>
      </c>
      <c r="C90" s="6" t="s">
        <v>531</v>
      </c>
      <c r="D90" s="6" t="s">
        <v>775</v>
      </c>
      <c r="E90" s="6" t="s">
        <v>776</v>
      </c>
      <c r="F90" s="6" t="s">
        <v>21</v>
      </c>
      <c r="G90" s="6" t="s">
        <v>777</v>
      </c>
      <c r="H90" s="6" t="s">
        <v>778</v>
      </c>
      <c r="I90" s="6" t="s">
        <v>779</v>
      </c>
      <c r="J90" s="6" t="s">
        <v>780</v>
      </c>
      <c r="K90" s="46" t="s">
        <v>75</v>
      </c>
      <c r="L90" s="8"/>
      <c r="M90" s="8"/>
      <c r="N90" s="47" t="s">
        <v>702</v>
      </c>
      <c r="O90" s="6" t="s">
        <v>24</v>
      </c>
      <c r="P90" s="8" t="s">
        <v>107</v>
      </c>
      <c r="Q90" s="6" t="s">
        <v>759</v>
      </c>
      <c r="R90" s="6" t="s">
        <v>781</v>
      </c>
    </row>
    <row r="91" spans="1:18" ht="72.5" x14ac:dyDescent="0.35">
      <c r="A91" s="6" t="s">
        <v>782</v>
      </c>
      <c r="B91" s="6">
        <v>10</v>
      </c>
      <c r="C91" s="6" t="s">
        <v>531</v>
      </c>
      <c r="D91" s="6" t="s">
        <v>783</v>
      </c>
      <c r="E91" s="6" t="s">
        <v>784</v>
      </c>
      <c r="F91" s="6" t="s">
        <v>21</v>
      </c>
      <c r="G91" s="6" t="s">
        <v>785</v>
      </c>
      <c r="H91" s="6" t="s">
        <v>786</v>
      </c>
      <c r="I91" s="6" t="s">
        <v>787</v>
      </c>
      <c r="J91" s="6" t="s">
        <v>788</v>
      </c>
      <c r="K91" s="46" t="s">
        <v>75</v>
      </c>
      <c r="L91" s="8"/>
      <c r="M91" s="8"/>
      <c r="N91" s="47" t="s">
        <v>710</v>
      </c>
      <c r="O91" s="6" t="s">
        <v>24</v>
      </c>
      <c r="P91" s="8" t="s">
        <v>107</v>
      </c>
      <c r="Q91" s="6" t="s">
        <v>759</v>
      </c>
      <c r="R91" s="6" t="s">
        <v>789</v>
      </c>
    </row>
    <row r="92" spans="1:18" ht="72.5" x14ac:dyDescent="0.35">
      <c r="A92" s="6" t="s">
        <v>790</v>
      </c>
      <c r="B92" s="6">
        <v>10</v>
      </c>
      <c r="C92" s="6" t="s">
        <v>531</v>
      </c>
      <c r="D92" s="6" t="s">
        <v>791</v>
      </c>
      <c r="E92" s="6" t="s">
        <v>792</v>
      </c>
      <c r="F92" s="6" t="s">
        <v>47</v>
      </c>
      <c r="G92" s="6" t="s">
        <v>793</v>
      </c>
      <c r="H92" s="6" t="s">
        <v>794</v>
      </c>
      <c r="I92" s="6" t="s">
        <v>795</v>
      </c>
      <c r="J92" s="6" t="s">
        <v>796</v>
      </c>
      <c r="K92" s="46" t="s">
        <v>75</v>
      </c>
      <c r="L92" s="8"/>
      <c r="M92" s="8"/>
      <c r="N92" s="47" t="s">
        <v>717</v>
      </c>
      <c r="O92" s="6" t="s">
        <v>24</v>
      </c>
      <c r="P92" s="8" t="s">
        <v>107</v>
      </c>
      <c r="Q92" s="6" t="s">
        <v>759</v>
      </c>
      <c r="R92" s="6" t="s">
        <v>797</v>
      </c>
    </row>
    <row r="93" spans="1:18" ht="72.5" x14ac:dyDescent="0.35">
      <c r="A93" s="6" t="s">
        <v>798</v>
      </c>
      <c r="B93" s="6">
        <v>10</v>
      </c>
      <c r="C93" s="6" t="s">
        <v>531</v>
      </c>
      <c r="D93" s="6" t="s">
        <v>799</v>
      </c>
      <c r="E93" s="6" t="s">
        <v>800</v>
      </c>
      <c r="F93" s="6" t="s">
        <v>518</v>
      </c>
      <c r="G93" s="6" t="s">
        <v>801</v>
      </c>
      <c r="H93" s="6" t="s">
        <v>802</v>
      </c>
      <c r="I93" s="6" t="s">
        <v>803</v>
      </c>
      <c r="J93" s="6" t="s">
        <v>804</v>
      </c>
      <c r="K93" s="46" t="s">
        <v>75</v>
      </c>
      <c r="L93" s="8"/>
      <c r="M93" s="8"/>
      <c r="N93" s="47" t="s">
        <v>702</v>
      </c>
      <c r="O93" s="6" t="s">
        <v>24</v>
      </c>
      <c r="P93" s="8" t="s">
        <v>107</v>
      </c>
      <c r="Q93" s="6" t="s">
        <v>759</v>
      </c>
      <c r="R93" s="6" t="s">
        <v>805</v>
      </c>
    </row>
    <row r="94" spans="1:18" ht="43.5" x14ac:dyDescent="0.35">
      <c r="A94" s="6" t="s">
        <v>806</v>
      </c>
      <c r="B94" s="6">
        <v>10</v>
      </c>
      <c r="C94" s="6" t="s">
        <v>531</v>
      </c>
      <c r="D94" s="6" t="s">
        <v>807</v>
      </c>
      <c r="E94" s="6" t="s">
        <v>808</v>
      </c>
      <c r="F94" s="6" t="s">
        <v>518</v>
      </c>
      <c r="G94" s="6" t="s">
        <v>809</v>
      </c>
      <c r="H94" s="6" t="s">
        <v>810</v>
      </c>
      <c r="I94" s="6" t="s">
        <v>811</v>
      </c>
      <c r="J94" s="6" t="s">
        <v>812</v>
      </c>
      <c r="K94" s="46" t="s">
        <v>75</v>
      </c>
      <c r="L94" s="8"/>
      <c r="M94" s="8"/>
      <c r="N94" s="47" t="s">
        <v>749</v>
      </c>
      <c r="O94" s="6" t="s">
        <v>24</v>
      </c>
      <c r="P94" s="8" t="s">
        <v>107</v>
      </c>
      <c r="Q94" s="6" t="s">
        <v>759</v>
      </c>
      <c r="R94" s="6" t="s">
        <v>813</v>
      </c>
    </row>
  </sheetData>
  <phoneticPr fontId="4" type="noConversion"/>
  <hyperlinks>
    <hyperlink ref="N43" r:id="rId1" xr:uid="{F1645194-E524-4B93-93C0-93775656DF38}"/>
    <hyperlink ref="N45" r:id="rId2" tooltip="Bukti retest pass change-password" xr:uid="{83495BB2-4F28-4636-8350-D973F94E0902}"/>
    <hyperlink ref="N46" r:id="rId3" tooltip="Bukti retest pass GET /users" xr:uid="{2A6474F4-7C4B-46EE-BFDD-FFE06AF40E86}"/>
    <hyperlink ref="N51" r:id="rId4" tooltip="Bukti retest pass GET /users/1" xr:uid="{1D4D0B11-6BC6-4996-9878-75C18A64CB5A}"/>
    <hyperlink ref="N76" r:id="rId5" tooltip="Bukti verifikasi pemisahan angka &amp; persen Donut Chart" xr:uid="{352E79BE-EA5E-416B-9A46-0975FC5478D9}"/>
    <hyperlink ref="N77" r:id="rId6" tooltip="Bukti modal detail badge unknown amber" xr:uid="{29EBF0BA-A607-4A63-BA02-BD4E08334471}"/>
    <hyperlink ref="N72" r:id="rId7" tooltip="Wireframe Desktop 1080p" xr:uid="{C5D30B54-7FD1-4625-80AF-A671A87A34CF}"/>
    <hyperlink ref="N73" r:id="rId8" tooltip="Wireframe Tablet 768p" xr:uid="{BCF9F7C0-2A4A-40E9-82B6-7F9837E16225}"/>
    <hyperlink ref="N74" r:id="rId9" tooltip="Wireframe Mobile 375p" xr:uid="{940DC609-433C-41F2-9018-441CF70ED274}"/>
    <hyperlink ref="N75" r:id="rId10" tooltip="Wireframe RBAC Super Admin" xr:uid="{97835F1A-F840-4B49-B544-65C134EE20E7}"/>
    <hyperlink ref="N78" r:id="rId11" tooltip="Wireframe Persistensi Settings" xr:uid="{D49569CC-A7E8-4FD1-9EEA-11943C68624C}"/>
    <hyperlink ref="N79" r:id="rId12" tooltip="2026-10-20_Hari-9_dashboard_desktop-1080p.png" xr:uid="{C44BD706-1024-496D-BC2C-FEC5F2FDDBC4}"/>
    <hyperlink ref="N80" r:id="rId13" tooltip="2026-10-20_Hari-9_dashboard_devices-table.png" xr:uid="{C4E76EE7-1F92-4D21-BE02-3C227961FFA8}"/>
    <hyperlink ref="N81" r:id="rId14" tooltip="2026-10-20_Hari-9_dashboard_monitoring-live.png" xr:uid="{008D6612-6DA8-41AF-95FA-34960211B1D3}"/>
    <hyperlink ref="N82" r:id="rId15" tooltip="2026-10-20_Hari-9_dashboard_location-gis.png" xr:uid="{114DF096-9EB4-45C7-A09A-1AF0A57EECAC}"/>
    <hyperlink ref="N83" r:id="rId16" tooltip="2026-10-20_Hari-9_dashboard_alerts-incidents.png" xr:uid="{8287D95D-5C56-42D7-AE0D-0B12830ABA1F}"/>
    <hyperlink ref="N84" r:id="rId17" tooltip="2026-10-20_Hari-9_dashboard_users-management.png" xr:uid="{A1CD8320-354E-4D47-A2C0-889080A5FE2D}"/>
    <hyperlink ref="N85" r:id="rId18" tooltip="2026-10-20_Hari-9_dashboard_tablet-768p.png" xr:uid="{688E4F75-BC2A-4D87-8928-B390BB230019}"/>
    <hyperlink ref="N86" r:id="rId19" tooltip="2026-10-20_Hari-9_dashboard_mobile-375p.png" xr:uid="{E56ED74B-D5E4-4FB8-A1EC-6EE6A17542CE}"/>
    <hyperlink ref="N12" r:id="rId20" tooltip="2026-10-21_Hari-10_final-dashboard_monitoring-live.png" xr:uid="{AA5214D5-F1E0-4AB5-8F33-130BA9BECE39}"/>
    <hyperlink ref="N87" r:id="rId21" tooltip="2026-10-21_Hari-10_final-dashboard_monitoring-live.png" xr:uid="{AA69F703-3295-4E68-83AE-6D1BD44B5B8D}"/>
    <hyperlink ref="N88" r:id="rId22" tooltip="2026-10-21_Hari-10_final-dashboard_alerts-tickets.png" xr:uid="{4605776D-F959-42A0-8F71-F8599BA27AB1}"/>
    <hyperlink ref="N89" r:id="rId23" tooltip="2026-10-21_Hari-10_final-dashboard_devices-management.png" xr:uid="{D4C20B14-4E67-4FE8-B1D7-74877549AED3}"/>
    <hyperlink ref="N90" r:id="rId24" tooltip="2026-10-21_Hari-10_final-dashboard_reports-export.png" xr:uid="{AE154EBE-7DA7-4240-A572-D2F2DBD07D3E}"/>
    <hyperlink ref="N91" r:id="rId25" tooltip="2026-10-21_Hari-10_final-dashboard_devices-management.png" xr:uid="{FABA0045-223F-4258-9055-43736084C725}"/>
    <hyperlink ref="N92" r:id="rId26" tooltip="2026-10-21_Hari-10_final-dashboard_desktop-1080p.png" xr:uid="{DF0874B5-F3A5-4940-B56E-5C8C97D816B7}"/>
    <hyperlink ref="N93" r:id="rId27" tooltip="2026-10-21_Hari-10_final-dashboard_reports-export.png" xr:uid="{B17C34F4-F7BE-42EA-851C-9107F4B20CCB}"/>
    <hyperlink ref="N94" r:id="rId28" tooltip="2026-10-21_Hari-10_final-dashboard_users-rbac.png" xr:uid="{2241DBCB-8785-46FF-94D5-F6C6DED84A05}"/>
    <hyperlink ref="N54" r:id="rId29" tooltip="2026-10-22_Hari-11_TC-MON-001_icmp-ping.png" xr:uid="{8C32334C-50E2-461D-89AF-8EB45F63C7C7}"/>
    <hyperlink ref="N55" r:id="rId30" tooltip="2026-10-22_Hari-11_TC-MON-002_http-health.png" xr:uid="{5D47D286-D7AE-4B03-A0A4-866AE4CEBB25}"/>
    <hyperlink ref="N56" r:id="rId31" tooltip="2026-10-22_Hari-11_TC-MON-003_tcp-port-scan.png" xr:uid="{54A22B2F-0B75-42D5-8371-1C9E401985B0}"/>
    <hyperlink ref="N57" r:id="rId32" tooltip="2026-10-22_Hari-11_TC-MON-004_latency-logs.png" xr:uid="{3B45532E-6326-4EFF-907E-9865FA5CE054}"/>
    <hyperlink ref="N58" r:id="rId33" tooltip="2026-10-22_Hari-11_TC-MON-005_monitoring-summary.png" xr:uid="{C3BDC459-DA6D-4F63-83EB-830608126897}"/>
    <hyperlink ref="N59" r:id="rId34" tooltip="2026-10-22_Hari-11_TC-HB-001_iot-heartbeat.png" xr:uid="{756D28A9-DCDF-427F-B5A7-F01AB6696F3F}"/>
    <hyperlink ref="N28" r:id="rId35" xr:uid="{007CCACA-3220-4F7C-912C-66F1A0DC4260}"/>
    <hyperlink ref="N29" r:id="rId36" tooltip="2026-10-23_Hari-12_TC-REC-001_auto-resolved-recovery.png" xr:uid="{DB45E82C-A556-4308-B54C-1019F073E6BD}"/>
    <hyperlink ref="N30" r:id="rId37" tooltip="2026-10-23_Hari-12_TC-FAIL-001_offline-detection.png" xr:uid="{028E6BEF-3D80-4EAC-B73A-A23554BC740F}"/>
    <hyperlink ref="N31" r:id="rId38" tooltip="2026-10-23_Hari-12_TC-NOTIF-001_alert-notification-trigger.png" xr:uid="{3D282DAD-DBA6-48CA-AB3F-2D3422710268}"/>
    <hyperlink ref="N32" r:id="rId39" tooltip="2026-10-23_Hari-12_TC-HB-002_iot-heartbeat-recovery.png" xr:uid="{D3C4FE45-45EE-4B9C-B10E-CB4590A69183}"/>
    <hyperlink ref="N33" r:id="rId40" tooltip="2026-10-23_Hari-12_TC-WARN-001_high-latency-warning.png" xr:uid="{5C311F97-1645-4AF3-BE81-26737B5A7616}"/>
    <hyperlink ref="N40" r:id="rId41" xr:uid="{84DCE3CA-9396-4774-BABE-BA65D327F058}"/>
    <hyperlink ref="N2" r:id="rId42" xr:uid="{38DE97AC-647E-4FAA-91DF-3E239D926B21}"/>
    <hyperlink ref="N64" r:id="rId43" xr:uid="{4E8FCC19-840B-4A93-9C43-C6BBA664F2BB}"/>
  </hyperlinks>
  <pageMargins left="0.7" right="0.7" top="0.75" bottom="0.75" header="0.3" footer="0.3"/>
  <pageSetup orientation="portrait" r:id="rId4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N94"/>
  <sheetViews>
    <sheetView zoomScale="78" zoomScaleNormal="85" workbookViewId="0">
      <selection activeCell="E23" sqref="E23"/>
    </sheetView>
  </sheetViews>
  <sheetFormatPr defaultRowHeight="14.5" x14ac:dyDescent="0.35"/>
  <cols>
    <col min="1" max="1" width="12.6328125" customWidth="1"/>
    <col min="2" max="2" width="14.6328125" customWidth="1"/>
    <col min="3" max="3" width="58.6328125" customWidth="1"/>
    <col min="4" max="4" width="14.6328125" customWidth="1"/>
    <col min="5" max="5" width="12.6328125" customWidth="1"/>
    <col min="6" max="6" width="16.6328125" customWidth="1"/>
    <col min="7" max="8" width="14.6328125" customWidth="1"/>
    <col min="9" max="9" width="47.36328125" customWidth="1"/>
    <col min="10" max="10" width="21.1796875" customWidth="1"/>
    <col min="11" max="11" width="16.453125" customWidth="1"/>
    <col min="12" max="12" width="12.26953125" customWidth="1"/>
  </cols>
  <sheetData>
    <row r="1" spans="1:14" ht="24" customHeight="1" x14ac:dyDescent="0.35">
      <c r="A1" s="18" t="s">
        <v>421</v>
      </c>
      <c r="B1" s="18" t="s">
        <v>422</v>
      </c>
      <c r="C1" s="18" t="s">
        <v>423</v>
      </c>
      <c r="D1" s="18" t="s">
        <v>424</v>
      </c>
      <c r="E1" s="18" t="s">
        <v>425</v>
      </c>
      <c r="F1" s="18" t="s">
        <v>419</v>
      </c>
      <c r="G1" s="18" t="s">
        <v>426</v>
      </c>
      <c r="H1" s="18" t="s">
        <v>427</v>
      </c>
      <c r="I1" s="18" t="s">
        <v>589</v>
      </c>
      <c r="J1" s="1"/>
      <c r="K1" s="1"/>
      <c r="L1" s="1"/>
    </row>
    <row r="2" spans="1:14" x14ac:dyDescent="0.35">
      <c r="A2" s="4" t="s">
        <v>67</v>
      </c>
      <c r="B2" s="5" t="s">
        <v>87</v>
      </c>
      <c r="C2" s="6" t="s">
        <v>438</v>
      </c>
      <c r="D2" s="6" t="s">
        <v>260</v>
      </c>
      <c r="E2" s="4" t="s">
        <v>420</v>
      </c>
      <c r="F2" s="4" t="s">
        <v>71</v>
      </c>
      <c r="G2" s="35" t="s">
        <v>437</v>
      </c>
      <c r="H2" s="12" t="s">
        <v>90</v>
      </c>
      <c r="I2" s="32" t="s">
        <v>590</v>
      </c>
    </row>
    <row r="3" spans="1:14" x14ac:dyDescent="0.35">
      <c r="A3" s="4" t="s">
        <v>69</v>
      </c>
      <c r="B3" s="5" t="s">
        <v>87</v>
      </c>
      <c r="C3" s="6" t="s">
        <v>448</v>
      </c>
      <c r="D3" s="6" t="s">
        <v>282</v>
      </c>
      <c r="E3" s="4" t="s">
        <v>70</v>
      </c>
      <c r="F3" s="4" t="s">
        <v>71</v>
      </c>
      <c r="G3" s="35" t="s">
        <v>437</v>
      </c>
      <c r="H3" s="12" t="s">
        <v>96</v>
      </c>
      <c r="I3" s="32" t="s">
        <v>591</v>
      </c>
    </row>
    <row r="4" spans="1:14" x14ac:dyDescent="0.35">
      <c r="A4" s="4" t="s">
        <v>439</v>
      </c>
      <c r="B4" s="5" t="s">
        <v>93</v>
      </c>
      <c r="C4" s="6" t="s">
        <v>584</v>
      </c>
      <c r="D4" s="4" t="s">
        <v>260</v>
      </c>
      <c r="E4" s="4" t="s">
        <v>70</v>
      </c>
      <c r="F4" s="4" t="s">
        <v>71</v>
      </c>
      <c r="G4" s="35" t="s">
        <v>437</v>
      </c>
      <c r="H4" s="12" t="s">
        <v>96</v>
      </c>
      <c r="I4" s="32" t="s">
        <v>592</v>
      </c>
    </row>
    <row r="5" spans="1:14" x14ac:dyDescent="0.35">
      <c r="A5" s="4" t="s">
        <v>458</v>
      </c>
      <c r="B5" s="5" t="s">
        <v>96</v>
      </c>
      <c r="C5" s="6" t="s">
        <v>585</v>
      </c>
      <c r="D5" s="4" t="s">
        <v>282</v>
      </c>
      <c r="E5" s="4" t="s">
        <v>70</v>
      </c>
      <c r="F5" s="4" t="s">
        <v>71</v>
      </c>
      <c r="G5" s="35" t="s">
        <v>437</v>
      </c>
      <c r="H5" s="12" t="s">
        <v>96</v>
      </c>
      <c r="I5" s="32" t="s">
        <v>593</v>
      </c>
    </row>
    <row r="6" spans="1:14" x14ac:dyDescent="0.35">
      <c r="A6" s="4" t="s">
        <v>479</v>
      </c>
      <c r="B6" s="5" t="s">
        <v>100</v>
      </c>
      <c r="C6" s="6" t="s">
        <v>480</v>
      </c>
      <c r="D6" s="4" t="s">
        <v>481</v>
      </c>
      <c r="E6" s="4" t="s">
        <v>70</v>
      </c>
      <c r="F6" s="4" t="s">
        <v>482</v>
      </c>
      <c r="G6" s="35" t="s">
        <v>437</v>
      </c>
      <c r="H6" s="12" t="s">
        <v>101</v>
      </c>
      <c r="I6" s="32" t="s">
        <v>605</v>
      </c>
    </row>
    <row r="7" spans="1:14" ht="29" x14ac:dyDescent="0.35">
      <c r="A7" s="4" t="s">
        <v>486</v>
      </c>
      <c r="B7" s="12" t="s">
        <v>101</v>
      </c>
      <c r="C7" s="6" t="s">
        <v>487</v>
      </c>
      <c r="D7" s="4" t="s">
        <v>481</v>
      </c>
      <c r="E7" s="4" t="s">
        <v>70</v>
      </c>
      <c r="F7" s="4" t="s">
        <v>612</v>
      </c>
      <c r="G7" s="35" t="s">
        <v>437</v>
      </c>
      <c r="H7" s="12" t="s">
        <v>101</v>
      </c>
      <c r="I7" s="32" t="s">
        <v>594</v>
      </c>
    </row>
    <row r="8" spans="1:14" x14ac:dyDescent="0.35">
      <c r="A8" s="6" t="s">
        <v>488</v>
      </c>
      <c r="B8" s="34" t="s">
        <v>101</v>
      </c>
      <c r="C8" t="s">
        <v>613</v>
      </c>
      <c r="D8" s="4" t="s">
        <v>481</v>
      </c>
      <c r="E8" s="4" t="s">
        <v>420</v>
      </c>
      <c r="F8" s="4" t="s">
        <v>612</v>
      </c>
      <c r="G8" s="35" t="s">
        <v>437</v>
      </c>
      <c r="H8" s="12" t="s">
        <v>101</v>
      </c>
      <c r="I8" s="32" t="s">
        <v>595</v>
      </c>
    </row>
    <row r="9" spans="1:14" x14ac:dyDescent="0.35">
      <c r="A9" s="6" t="s">
        <v>489</v>
      </c>
      <c r="B9" s="34" t="s">
        <v>101</v>
      </c>
      <c r="C9" t="s">
        <v>614</v>
      </c>
      <c r="D9" s="4" t="s">
        <v>481</v>
      </c>
      <c r="E9" s="4" t="s">
        <v>420</v>
      </c>
      <c r="F9" s="4" t="s">
        <v>612</v>
      </c>
      <c r="G9" s="35" t="s">
        <v>437</v>
      </c>
      <c r="H9" s="12" t="s">
        <v>101</v>
      </c>
      <c r="I9" s="32" t="s">
        <v>595</v>
      </c>
    </row>
    <row r="10" spans="1:14" ht="29" x14ac:dyDescent="0.35">
      <c r="A10" s="4" t="s">
        <v>490</v>
      </c>
      <c r="B10" s="12" t="s">
        <v>101</v>
      </c>
      <c r="C10" s="6" t="s">
        <v>491</v>
      </c>
      <c r="D10" s="4" t="s">
        <v>481</v>
      </c>
      <c r="E10" s="4" t="s">
        <v>492</v>
      </c>
      <c r="F10" s="4" t="s">
        <v>612</v>
      </c>
      <c r="G10" s="35" t="s">
        <v>437</v>
      </c>
      <c r="H10" s="12" t="s">
        <v>101</v>
      </c>
      <c r="I10" s="32" t="s">
        <v>596</v>
      </c>
    </row>
    <row r="11" spans="1:14" ht="29" x14ac:dyDescent="0.35">
      <c r="A11" s="4" t="s">
        <v>493</v>
      </c>
      <c r="B11" s="12" t="s">
        <v>101</v>
      </c>
      <c r="C11" s="6" t="s">
        <v>494</v>
      </c>
      <c r="D11" s="4" t="s">
        <v>481</v>
      </c>
      <c r="E11" s="4" t="s">
        <v>492</v>
      </c>
      <c r="F11" s="4" t="s">
        <v>612</v>
      </c>
      <c r="G11" s="35" t="s">
        <v>437</v>
      </c>
      <c r="H11" s="12" t="s">
        <v>101</v>
      </c>
      <c r="I11" s="32" t="s">
        <v>595</v>
      </c>
    </row>
    <row r="12" spans="1:14" x14ac:dyDescent="0.35">
      <c r="M12" s="49"/>
      <c r="N12" s="49"/>
    </row>
    <row r="13" spans="1:14" x14ac:dyDescent="0.35">
      <c r="A13" s="60" t="s">
        <v>586</v>
      </c>
      <c r="B13" s="60"/>
      <c r="C13" s="60"/>
      <c r="M13" s="49"/>
    </row>
    <row r="14" spans="1:14" x14ac:dyDescent="0.35">
      <c r="A14" s="60" t="s">
        <v>587</v>
      </c>
      <c r="B14" s="60"/>
      <c r="C14" s="60"/>
      <c r="M14" s="49"/>
    </row>
    <row r="15" spans="1:14" x14ac:dyDescent="0.35">
      <c r="M15" s="49"/>
    </row>
    <row r="16" spans="1:14" x14ac:dyDescent="0.35">
      <c r="M16" s="49"/>
    </row>
    <row r="17" spans="13:13" x14ac:dyDescent="0.35">
      <c r="M17" s="49"/>
    </row>
    <row r="18" spans="13:13" x14ac:dyDescent="0.35">
      <c r="M18" s="49"/>
    </row>
    <row r="19" spans="13:13" x14ac:dyDescent="0.35">
      <c r="M19" s="49"/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mergeCells count="2">
    <mergeCell ref="A13:C13"/>
    <mergeCell ref="A14:C14"/>
  </mergeCells>
  <hyperlinks>
    <hyperlink ref="I2" r:id="rId1" tooltip="Bukti Retest Pass BUG-001 (POST /auth/change-password)" xr:uid="{23C554C9-F811-4DF3-8B20-28E2D860CCB1}"/>
    <hyperlink ref="I3" r:id="rId2" tooltip="Bukti Retest Pass BUG-002 (GET /users/1)" xr:uid="{5E4FB380-D90D-42ED-BE41-03DF0B4D60F0}"/>
    <hyperlink ref="I4" r:id="rId3" tooltip="Bukti Bug Temuan BUG-003 (GET /auth/me 500 created_at)" xr:uid="{AA84976E-D39C-4596-AD7C-BDEDB1964D3F}"/>
    <hyperlink ref="I5" r:id="rId4" tooltip="Bukti Retest Pass BUG-004 (GET /users 500 created_at)" xr:uid="{B0271B2E-5EED-4B08-92C0-F4C612125623}"/>
    <hyperlink ref="I7" r:id="rId5" tooltip="Bukti Bug BUG-006 (Portal Login domain @taims.local)" xr:uid="{B3A71CD9-C09A-4AAD-B953-82200200E672}"/>
    <hyperlink ref="I8" r:id="rId6" tooltip="Bukti Bug BUG-007 (Tabrakan teks Donut Chart 212.5%)" xr:uid="{546377E0-AA74-4496-A26C-A800D4D8A2BC}"/>
    <hyperlink ref="I9" r:id="rId7" tooltip="Bukti Bug BUG-008 (Sub-label Uptime statis hijau)" xr:uid="{DCB5588F-3CBE-4C40-9D03-F7FA2D37C180}"/>
    <hyperlink ref="I10" r:id="rId8" tooltip="Bukti Bug BUG-009 (Modal detail offline badge forced)" xr:uid="{385ED18A-323E-416B-B24A-F3DBCD2DCC8B}"/>
    <hyperlink ref="I11" r:id="rId9" tooltip="Bukti Bug BUG-010 (Kontras rendah &amp; font mikroskopis)" xr:uid="{08F11E40-3645-44B4-9655-1EA14C08B14F}"/>
    <hyperlink ref="I6" r:id="rId10" tooltip="Bukti Error ZIP Corrupt (Windows cannot open folder - zip is invalid)" xr:uid="{29B66C7C-92DF-4061-B3AD-7CEBC6B8DCB0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94"/>
  <sheetViews>
    <sheetView topLeftCell="C1" zoomScale="62" zoomScaleNormal="40" workbookViewId="0">
      <pane ySplit="1" topLeftCell="A5" activePane="bottomLeft" state="frozen"/>
      <selection activeCell="N21" sqref="N21"/>
      <selection pane="bottomLeft" activeCell="E23" sqref="E23"/>
    </sheetView>
  </sheetViews>
  <sheetFormatPr defaultRowHeight="14.5" x14ac:dyDescent="0.35"/>
  <cols>
    <col min="1" max="1" width="12.6328125" customWidth="1"/>
    <col min="2" max="2" width="35.6328125" customWidth="1"/>
    <col min="3" max="3" width="16.6328125" customWidth="1"/>
    <col min="4" max="5" width="14.6328125" customWidth="1"/>
    <col min="6" max="6" width="12.6328125" customWidth="1"/>
    <col min="7" max="7" width="10.6328125" customWidth="1"/>
    <col min="8" max="9" width="14.6328125" customWidth="1"/>
    <col min="10" max="10" width="35.6328125" customWidth="1"/>
    <col min="11" max="12" width="30.6328125" customWidth="1"/>
    <col min="13" max="13" width="36.6328125" customWidth="1"/>
    <col min="14" max="14" width="28.6328125" customWidth="1"/>
    <col min="15" max="15" width="42.6328125" customWidth="1"/>
    <col min="16" max="16" width="14.6328125" customWidth="1"/>
    <col min="17" max="17" width="22.6328125" customWidth="1"/>
    <col min="18" max="18" width="14.6328125" customWidth="1"/>
    <col min="19" max="19" width="16.6328125" customWidth="1"/>
    <col min="20" max="20" width="45.6328125" customWidth="1"/>
    <col min="21" max="21" width="21.453125" customWidth="1"/>
  </cols>
  <sheetData>
    <row r="1" spans="1:23" x14ac:dyDescent="0.35">
      <c r="A1" s="3" t="s">
        <v>418</v>
      </c>
      <c r="B1" s="3" t="s">
        <v>56</v>
      </c>
      <c r="C1" s="3" t="s">
        <v>57</v>
      </c>
      <c r="D1" s="3" t="s">
        <v>58</v>
      </c>
      <c r="E1" s="3" t="s">
        <v>2</v>
      </c>
      <c r="F1" s="3" t="s">
        <v>11</v>
      </c>
      <c r="G1" s="3" t="s">
        <v>59</v>
      </c>
      <c r="H1" s="3" t="s">
        <v>60</v>
      </c>
      <c r="I1" s="3" t="s">
        <v>16</v>
      </c>
      <c r="J1" s="3" t="s">
        <v>61</v>
      </c>
      <c r="K1" s="3" t="s">
        <v>8</v>
      </c>
      <c r="L1" s="3" t="s">
        <v>9</v>
      </c>
      <c r="M1" s="18" t="s">
        <v>597</v>
      </c>
      <c r="N1" s="22" t="s">
        <v>62</v>
      </c>
      <c r="O1" s="3" t="s">
        <v>13</v>
      </c>
      <c r="P1" s="3" t="s">
        <v>10</v>
      </c>
      <c r="Q1" s="3" t="s">
        <v>63</v>
      </c>
      <c r="R1" s="3" t="s">
        <v>64</v>
      </c>
      <c r="S1" s="16" t="s">
        <v>65</v>
      </c>
      <c r="T1" s="3" t="s">
        <v>66</v>
      </c>
    </row>
    <row r="2" spans="1:23" ht="29" x14ac:dyDescent="0.35">
      <c r="A2" s="13" t="s">
        <v>67</v>
      </c>
      <c r="B2" s="6" t="s">
        <v>449</v>
      </c>
      <c r="C2" s="4" t="s">
        <v>24</v>
      </c>
      <c r="D2" s="5" t="s">
        <v>87</v>
      </c>
      <c r="E2" s="4" t="s">
        <v>260</v>
      </c>
      <c r="F2" s="4" t="s">
        <v>420</v>
      </c>
      <c r="G2" s="4" t="s">
        <v>21</v>
      </c>
      <c r="H2" s="4" t="s">
        <v>430</v>
      </c>
      <c r="I2" s="10"/>
      <c r="J2" s="6" t="s">
        <v>450</v>
      </c>
      <c r="K2" s="6" t="s">
        <v>451</v>
      </c>
      <c r="L2" s="6">
        <v>404</v>
      </c>
      <c r="M2" s="51" t="s">
        <v>590</v>
      </c>
      <c r="N2" s="33" t="s">
        <v>468</v>
      </c>
      <c r="O2" s="4" t="s">
        <v>452</v>
      </c>
      <c r="P2" s="4" t="s">
        <v>437</v>
      </c>
      <c r="Q2" s="4" t="s">
        <v>71</v>
      </c>
      <c r="R2" s="4" t="s">
        <v>24</v>
      </c>
      <c r="S2" s="15" t="s">
        <v>90</v>
      </c>
      <c r="T2" s="6" t="s">
        <v>459</v>
      </c>
      <c r="W2" s="2"/>
    </row>
    <row r="3" spans="1:23" ht="43.5" x14ac:dyDescent="0.35">
      <c r="A3" s="13" t="s">
        <v>69</v>
      </c>
      <c r="B3" s="6" t="s">
        <v>460</v>
      </c>
      <c r="C3" s="4" t="s">
        <v>24</v>
      </c>
      <c r="D3" s="5" t="s">
        <v>87</v>
      </c>
      <c r="E3" s="4" t="s">
        <v>282</v>
      </c>
      <c r="F3" s="4" t="s">
        <v>70</v>
      </c>
      <c r="G3" s="4" t="s">
        <v>21</v>
      </c>
      <c r="H3" s="4" t="s">
        <v>430</v>
      </c>
      <c r="I3" s="10"/>
      <c r="J3" s="6" t="s">
        <v>456</v>
      </c>
      <c r="K3" s="6" t="s">
        <v>451</v>
      </c>
      <c r="L3" s="6">
        <v>500</v>
      </c>
      <c r="M3" s="51" t="s">
        <v>591</v>
      </c>
      <c r="N3" s="33" t="s">
        <v>469</v>
      </c>
      <c r="O3" s="4" t="s">
        <v>453</v>
      </c>
      <c r="P3" s="4" t="s">
        <v>437</v>
      </c>
      <c r="Q3" s="4" t="s">
        <v>71</v>
      </c>
      <c r="R3" s="4" t="s">
        <v>24</v>
      </c>
      <c r="S3" s="15" t="s">
        <v>96</v>
      </c>
      <c r="T3" s="6" t="s">
        <v>467</v>
      </c>
      <c r="W3" s="2"/>
    </row>
    <row r="4" spans="1:23" ht="43.5" x14ac:dyDescent="0.35">
      <c r="A4" s="13" t="s">
        <v>439</v>
      </c>
      <c r="B4" s="6" t="s">
        <v>462</v>
      </c>
      <c r="C4" s="4" t="s">
        <v>24</v>
      </c>
      <c r="D4" s="12" t="s">
        <v>93</v>
      </c>
      <c r="E4" s="4" t="s">
        <v>260</v>
      </c>
      <c r="F4" s="4" t="s">
        <v>70</v>
      </c>
      <c r="G4" s="4" t="s">
        <v>21</v>
      </c>
      <c r="H4" s="4" t="s">
        <v>430</v>
      </c>
      <c r="I4" s="10"/>
      <c r="J4" s="6" t="s">
        <v>457</v>
      </c>
      <c r="K4" s="6" t="s">
        <v>451</v>
      </c>
      <c r="L4" s="6">
        <v>500</v>
      </c>
      <c r="M4" s="51" t="s">
        <v>592</v>
      </c>
      <c r="N4" s="23" t="s">
        <v>454</v>
      </c>
      <c r="O4" s="4" t="s">
        <v>455</v>
      </c>
      <c r="P4" s="4" t="s">
        <v>437</v>
      </c>
      <c r="Q4" s="4" t="s">
        <v>71</v>
      </c>
      <c r="R4" s="4" t="s">
        <v>24</v>
      </c>
      <c r="S4" s="12" t="s">
        <v>96</v>
      </c>
      <c r="T4" s="6" t="s">
        <v>461</v>
      </c>
    </row>
    <row r="5" spans="1:23" ht="43.5" x14ac:dyDescent="0.35">
      <c r="A5" s="13" t="s">
        <v>458</v>
      </c>
      <c r="B5" s="6" t="s">
        <v>463</v>
      </c>
      <c r="C5" s="4" t="s">
        <v>24</v>
      </c>
      <c r="D5" s="12" t="s">
        <v>96</v>
      </c>
      <c r="E5" s="4" t="s">
        <v>282</v>
      </c>
      <c r="F5" s="4" t="s">
        <v>70</v>
      </c>
      <c r="G5" s="4" t="s">
        <v>21</v>
      </c>
      <c r="H5" s="4" t="s">
        <v>430</v>
      </c>
      <c r="I5" s="10"/>
      <c r="J5" s="6" t="s">
        <v>466</v>
      </c>
      <c r="K5" s="6" t="s">
        <v>451</v>
      </c>
      <c r="L5" s="6">
        <v>500</v>
      </c>
      <c r="M5" s="51" t="s">
        <v>593</v>
      </c>
      <c r="N5" s="23" t="s">
        <v>464</v>
      </c>
      <c r="O5" s="4" t="s">
        <v>465</v>
      </c>
      <c r="P5" s="4" t="s">
        <v>437</v>
      </c>
      <c r="Q5" s="4" t="s">
        <v>71</v>
      </c>
      <c r="R5" s="4" t="s">
        <v>24</v>
      </c>
      <c r="S5" s="12" t="s">
        <v>96</v>
      </c>
      <c r="T5" s="6" t="s">
        <v>467</v>
      </c>
    </row>
    <row r="6" spans="1:23" ht="29" x14ac:dyDescent="0.35">
      <c r="A6" s="13" t="s">
        <v>479</v>
      </c>
      <c r="B6" s="6" t="s">
        <v>480</v>
      </c>
      <c r="C6" s="4" t="s">
        <v>24</v>
      </c>
      <c r="D6" s="12" t="s">
        <v>100</v>
      </c>
      <c r="E6" s="4" t="s">
        <v>481</v>
      </c>
      <c r="F6" s="4" t="s">
        <v>70</v>
      </c>
      <c r="G6" s="4" t="s">
        <v>21</v>
      </c>
      <c r="H6" s="4" t="s">
        <v>430</v>
      </c>
      <c r="I6" s="10"/>
      <c r="J6" s="6" t="s">
        <v>495</v>
      </c>
      <c r="K6" s="6" t="s">
        <v>496</v>
      </c>
      <c r="L6" s="6" t="s">
        <v>497</v>
      </c>
      <c r="M6" s="52" t="s">
        <v>605</v>
      </c>
      <c r="N6" s="4" t="s">
        <v>498</v>
      </c>
      <c r="O6" s="4" t="s">
        <v>499</v>
      </c>
      <c r="P6" s="4" t="s">
        <v>437</v>
      </c>
      <c r="Q6" s="4" t="s">
        <v>482</v>
      </c>
      <c r="R6" s="4" t="s">
        <v>24</v>
      </c>
      <c r="S6" s="12" t="s">
        <v>101</v>
      </c>
      <c r="T6" s="6" t="s">
        <v>606</v>
      </c>
    </row>
    <row r="7" spans="1:23" ht="29" x14ac:dyDescent="0.35">
      <c r="A7" s="13" t="s">
        <v>486</v>
      </c>
      <c r="B7" s="6" t="s">
        <v>500</v>
      </c>
      <c r="C7" s="4" t="s">
        <v>24</v>
      </c>
      <c r="D7" s="12" t="s">
        <v>101</v>
      </c>
      <c r="E7" s="4" t="s">
        <v>481</v>
      </c>
      <c r="F7" s="4" t="s">
        <v>70</v>
      </c>
      <c r="G7" s="4" t="s">
        <v>21</v>
      </c>
      <c r="H7" s="4" t="s">
        <v>430</v>
      </c>
      <c r="I7" s="10"/>
      <c r="J7" s="6" t="s">
        <v>501</v>
      </c>
      <c r="K7" s="6" t="s">
        <v>502</v>
      </c>
      <c r="L7" s="6" t="s">
        <v>277</v>
      </c>
      <c r="M7" s="51" t="s">
        <v>594</v>
      </c>
      <c r="N7" s="4" t="s">
        <v>503</v>
      </c>
      <c r="O7" s="4" t="s">
        <v>504</v>
      </c>
      <c r="P7" s="4" t="s">
        <v>437</v>
      </c>
      <c r="Q7" s="4" t="s">
        <v>612</v>
      </c>
      <c r="R7" s="4" t="s">
        <v>24</v>
      </c>
      <c r="S7" s="12" t="s">
        <v>101</v>
      </c>
      <c r="T7" s="6" t="s">
        <v>607</v>
      </c>
    </row>
    <row r="8" spans="1:23" ht="29" x14ac:dyDescent="0.35">
      <c r="A8" s="13" t="s">
        <v>488</v>
      </c>
      <c r="B8" s="6" t="s">
        <v>505</v>
      </c>
      <c r="C8" s="4" t="s">
        <v>24</v>
      </c>
      <c r="D8" s="12" t="s">
        <v>101</v>
      </c>
      <c r="E8" s="4" t="s">
        <v>481</v>
      </c>
      <c r="F8" s="4" t="s">
        <v>420</v>
      </c>
      <c r="G8" s="4" t="s">
        <v>47</v>
      </c>
      <c r="H8" s="4" t="s">
        <v>430</v>
      </c>
      <c r="I8" s="10"/>
      <c r="J8" s="6" t="s">
        <v>506</v>
      </c>
      <c r="K8" s="6" t="s">
        <v>507</v>
      </c>
      <c r="L8" s="6" t="s">
        <v>508</v>
      </c>
      <c r="M8" s="51" t="s">
        <v>595</v>
      </c>
      <c r="N8" s="4" t="s">
        <v>509</v>
      </c>
      <c r="O8" s="4" t="s">
        <v>510</v>
      </c>
      <c r="P8" s="4" t="s">
        <v>437</v>
      </c>
      <c r="Q8" s="4" t="s">
        <v>612</v>
      </c>
      <c r="R8" s="4" t="s">
        <v>24</v>
      </c>
      <c r="S8" s="12" t="s">
        <v>101</v>
      </c>
      <c r="T8" s="6" t="s">
        <v>609</v>
      </c>
    </row>
    <row r="9" spans="1:23" ht="29" x14ac:dyDescent="0.35">
      <c r="A9" s="13" t="s">
        <v>489</v>
      </c>
      <c r="B9" s="6" t="s">
        <v>511</v>
      </c>
      <c r="C9" s="4" t="s">
        <v>24</v>
      </c>
      <c r="D9" s="12" t="s">
        <v>101</v>
      </c>
      <c r="E9" s="4" t="s">
        <v>481</v>
      </c>
      <c r="F9" s="4" t="s">
        <v>420</v>
      </c>
      <c r="G9" s="4" t="s">
        <v>47</v>
      </c>
      <c r="H9" s="4" t="s">
        <v>430</v>
      </c>
      <c r="I9" s="10"/>
      <c r="J9" s="6" t="s">
        <v>512</v>
      </c>
      <c r="K9" s="6" t="s">
        <v>513</v>
      </c>
      <c r="L9" s="6" t="s">
        <v>514</v>
      </c>
      <c r="M9" s="51" t="s">
        <v>595</v>
      </c>
      <c r="N9" s="4" t="s">
        <v>515</v>
      </c>
      <c r="O9" s="4" t="s">
        <v>516</v>
      </c>
      <c r="P9" s="4" t="s">
        <v>437</v>
      </c>
      <c r="Q9" s="4" t="s">
        <v>612</v>
      </c>
      <c r="R9" s="4" t="s">
        <v>24</v>
      </c>
      <c r="S9" s="12" t="s">
        <v>101</v>
      </c>
      <c r="T9" s="6" t="s">
        <v>608</v>
      </c>
    </row>
    <row r="10" spans="1:23" ht="29" x14ac:dyDescent="0.35">
      <c r="A10" s="13" t="s">
        <v>490</v>
      </c>
      <c r="B10" s="6" t="s">
        <v>517</v>
      </c>
      <c r="C10" s="4" t="s">
        <v>24</v>
      </c>
      <c r="D10" s="12" t="s">
        <v>101</v>
      </c>
      <c r="E10" s="4" t="s">
        <v>481</v>
      </c>
      <c r="F10" s="4" t="s">
        <v>492</v>
      </c>
      <c r="G10" s="4" t="s">
        <v>518</v>
      </c>
      <c r="H10" s="4" t="s">
        <v>430</v>
      </c>
      <c r="I10" s="10"/>
      <c r="J10" s="6" t="s">
        <v>519</v>
      </c>
      <c r="K10" s="6" t="s">
        <v>520</v>
      </c>
      <c r="L10" s="6" t="s">
        <v>521</v>
      </c>
      <c r="M10" s="51" t="s">
        <v>596</v>
      </c>
      <c r="N10" s="4" t="s">
        <v>522</v>
      </c>
      <c r="O10" s="4" t="s">
        <v>523</v>
      </c>
      <c r="P10" s="4" t="s">
        <v>437</v>
      </c>
      <c r="Q10" s="4" t="s">
        <v>612</v>
      </c>
      <c r="R10" s="4" t="s">
        <v>24</v>
      </c>
      <c r="S10" s="12" t="s">
        <v>101</v>
      </c>
      <c r="T10" s="6" t="s">
        <v>610</v>
      </c>
    </row>
    <row r="11" spans="1:23" ht="29" x14ac:dyDescent="0.35">
      <c r="A11" s="42" t="s">
        <v>493</v>
      </c>
      <c r="B11" s="39" t="s">
        <v>524</v>
      </c>
      <c r="C11" s="43" t="s">
        <v>24</v>
      </c>
      <c r="D11" s="41" t="s">
        <v>101</v>
      </c>
      <c r="E11" s="43" t="s">
        <v>481</v>
      </c>
      <c r="F11" s="43" t="s">
        <v>492</v>
      </c>
      <c r="G11" s="43" t="s">
        <v>518</v>
      </c>
      <c r="H11" s="43" t="s">
        <v>430</v>
      </c>
      <c r="I11" s="38"/>
      <c r="J11" s="39" t="s">
        <v>525</v>
      </c>
      <c r="K11" s="39" t="s">
        <v>526</v>
      </c>
      <c r="L11" s="39" t="s">
        <v>527</v>
      </c>
      <c r="M11" s="51" t="s">
        <v>595</v>
      </c>
      <c r="N11" s="43" t="s">
        <v>528</v>
      </c>
      <c r="O11" s="43" t="s">
        <v>529</v>
      </c>
      <c r="P11" s="43" t="s">
        <v>437</v>
      </c>
      <c r="Q11" s="43" t="s">
        <v>612</v>
      </c>
      <c r="R11" s="43" t="s">
        <v>24</v>
      </c>
      <c r="S11" s="41" t="s">
        <v>101</v>
      </c>
      <c r="T11" s="39" t="s">
        <v>611</v>
      </c>
    </row>
    <row r="12" spans="1:23" ht="29" x14ac:dyDescent="0.35">
      <c r="A12" s="50" t="s">
        <v>694</v>
      </c>
      <c r="B12" s="11" t="s">
        <v>695</v>
      </c>
      <c r="C12" s="11" t="s">
        <v>24</v>
      </c>
      <c r="D12" s="34" t="s">
        <v>107</v>
      </c>
      <c r="E12" s="6" t="s">
        <v>696</v>
      </c>
      <c r="F12" s="6" t="s">
        <v>70</v>
      </c>
      <c r="G12" s="6" t="s">
        <v>21</v>
      </c>
      <c r="H12" s="6" t="s">
        <v>697</v>
      </c>
      <c r="I12" s="11" t="s">
        <v>698</v>
      </c>
      <c r="J12" s="11" t="s">
        <v>699</v>
      </c>
      <c r="K12" s="11" t="s">
        <v>700</v>
      </c>
      <c r="L12" s="11" t="s">
        <v>701</v>
      </c>
      <c r="M12" s="48" t="s">
        <v>702</v>
      </c>
      <c r="N12" s="53" t="s">
        <v>703</v>
      </c>
      <c r="O12" s="55" t="s">
        <v>822</v>
      </c>
      <c r="P12" s="4" t="s">
        <v>437</v>
      </c>
      <c r="Q12" s="4" t="s">
        <v>612</v>
      </c>
      <c r="R12" s="4" t="s">
        <v>24</v>
      </c>
      <c r="S12" s="12" t="s">
        <v>107</v>
      </c>
      <c r="T12" s="6" t="s">
        <v>814</v>
      </c>
    </row>
    <row r="13" spans="1:23" ht="43.5" x14ac:dyDescent="0.35">
      <c r="A13" s="50" t="s">
        <v>704</v>
      </c>
      <c r="B13" s="11" t="s">
        <v>705</v>
      </c>
      <c r="C13" s="11" t="s">
        <v>24</v>
      </c>
      <c r="D13" s="34" t="s">
        <v>107</v>
      </c>
      <c r="E13" s="6" t="s">
        <v>706</v>
      </c>
      <c r="F13" s="6" t="s">
        <v>70</v>
      </c>
      <c r="G13" s="6" t="s">
        <v>21</v>
      </c>
      <c r="H13" s="6" t="s">
        <v>697</v>
      </c>
      <c r="I13" s="11" t="s">
        <v>698</v>
      </c>
      <c r="J13" s="11" t="s">
        <v>707</v>
      </c>
      <c r="K13" s="11" t="s">
        <v>708</v>
      </c>
      <c r="L13" s="11" t="s">
        <v>709</v>
      </c>
      <c r="M13" s="48" t="s">
        <v>710</v>
      </c>
      <c r="N13" s="54" t="s">
        <v>711</v>
      </c>
      <c r="O13" s="55" t="s">
        <v>823</v>
      </c>
      <c r="P13" s="4" t="s">
        <v>437</v>
      </c>
      <c r="Q13" s="4" t="s">
        <v>612</v>
      </c>
      <c r="R13" s="4" t="s">
        <v>24</v>
      </c>
      <c r="S13" s="12" t="s">
        <v>107</v>
      </c>
      <c r="T13" s="6" t="s">
        <v>815</v>
      </c>
    </row>
    <row r="14" spans="1:23" ht="43.5" x14ac:dyDescent="0.35">
      <c r="A14" s="50" t="s">
        <v>712</v>
      </c>
      <c r="B14" s="11" t="s">
        <v>713</v>
      </c>
      <c r="C14" s="11" t="s">
        <v>24</v>
      </c>
      <c r="D14" s="34" t="s">
        <v>107</v>
      </c>
      <c r="E14" s="6" t="s">
        <v>164</v>
      </c>
      <c r="F14" s="6" t="s">
        <v>420</v>
      </c>
      <c r="G14" s="6" t="s">
        <v>47</v>
      </c>
      <c r="H14" s="6" t="s">
        <v>697</v>
      </c>
      <c r="I14" s="11" t="s">
        <v>698</v>
      </c>
      <c r="J14" s="11" t="s">
        <v>714</v>
      </c>
      <c r="K14" s="11" t="s">
        <v>715</v>
      </c>
      <c r="L14" s="11" t="s">
        <v>716</v>
      </c>
      <c r="M14" s="48" t="s">
        <v>717</v>
      </c>
      <c r="N14" s="54" t="s">
        <v>718</v>
      </c>
      <c r="O14" s="55" t="s">
        <v>824</v>
      </c>
      <c r="P14" s="4" t="s">
        <v>437</v>
      </c>
      <c r="Q14" s="4" t="s">
        <v>612</v>
      </c>
      <c r="R14" s="4" t="s">
        <v>24</v>
      </c>
      <c r="S14" s="12" t="s">
        <v>107</v>
      </c>
      <c r="T14" s="6" t="s">
        <v>816</v>
      </c>
    </row>
    <row r="15" spans="1:23" ht="43.5" x14ac:dyDescent="0.35">
      <c r="A15" s="50" t="s">
        <v>719</v>
      </c>
      <c r="B15" s="11" t="s">
        <v>720</v>
      </c>
      <c r="C15" s="11" t="s">
        <v>24</v>
      </c>
      <c r="D15" s="34" t="s">
        <v>107</v>
      </c>
      <c r="E15" s="6" t="s">
        <v>164</v>
      </c>
      <c r="F15" s="6" t="s">
        <v>492</v>
      </c>
      <c r="G15" s="6" t="s">
        <v>518</v>
      </c>
      <c r="H15" s="6" t="s">
        <v>697</v>
      </c>
      <c r="I15" s="11" t="s">
        <v>698</v>
      </c>
      <c r="J15" s="11" t="s">
        <v>721</v>
      </c>
      <c r="K15" s="11" t="s">
        <v>722</v>
      </c>
      <c r="L15" s="11" t="s">
        <v>723</v>
      </c>
      <c r="M15" s="48" t="s">
        <v>717</v>
      </c>
      <c r="N15" s="54" t="s">
        <v>724</v>
      </c>
      <c r="O15" s="55" t="s">
        <v>824</v>
      </c>
      <c r="P15" s="4" t="s">
        <v>437</v>
      </c>
      <c r="Q15" s="4" t="s">
        <v>612</v>
      </c>
      <c r="R15" s="4" t="s">
        <v>24</v>
      </c>
      <c r="S15" s="12" t="s">
        <v>107</v>
      </c>
      <c r="T15" s="6" t="s">
        <v>817</v>
      </c>
    </row>
    <row r="16" spans="1:23" ht="43.5" x14ac:dyDescent="0.35">
      <c r="A16" s="50" t="s">
        <v>725</v>
      </c>
      <c r="B16" s="11" t="s">
        <v>726</v>
      </c>
      <c r="C16" s="11" t="s">
        <v>24</v>
      </c>
      <c r="D16" s="34" t="s">
        <v>107</v>
      </c>
      <c r="E16" s="6" t="s">
        <v>727</v>
      </c>
      <c r="F16" s="6" t="s">
        <v>420</v>
      </c>
      <c r="G16" s="6" t="s">
        <v>47</v>
      </c>
      <c r="H16" s="6" t="s">
        <v>697</v>
      </c>
      <c r="I16" s="11" t="s">
        <v>698</v>
      </c>
      <c r="J16" s="11" t="s">
        <v>728</v>
      </c>
      <c r="K16" s="11" t="s">
        <v>729</v>
      </c>
      <c r="L16" s="11" t="s">
        <v>730</v>
      </c>
      <c r="M16" s="48" t="s">
        <v>717</v>
      </c>
      <c r="N16" s="54" t="s">
        <v>731</v>
      </c>
      <c r="O16" s="55" t="s">
        <v>824</v>
      </c>
      <c r="P16" s="4" t="s">
        <v>437</v>
      </c>
      <c r="Q16" s="4" t="s">
        <v>612</v>
      </c>
      <c r="R16" s="4" t="s">
        <v>24</v>
      </c>
      <c r="S16" s="12" t="s">
        <v>107</v>
      </c>
      <c r="T16" s="6" t="s">
        <v>818</v>
      </c>
    </row>
    <row r="17" spans="1:20" ht="29" x14ac:dyDescent="0.35">
      <c r="A17" s="50" t="s">
        <v>732</v>
      </c>
      <c r="B17" s="11" t="s">
        <v>733</v>
      </c>
      <c r="C17" s="11" t="s">
        <v>24</v>
      </c>
      <c r="D17" s="34" t="s">
        <v>107</v>
      </c>
      <c r="E17" s="6" t="s">
        <v>164</v>
      </c>
      <c r="F17" s="6" t="s">
        <v>420</v>
      </c>
      <c r="G17" s="6" t="s">
        <v>47</v>
      </c>
      <c r="H17" s="6" t="s">
        <v>697</v>
      </c>
      <c r="I17" s="11" t="s">
        <v>698</v>
      </c>
      <c r="J17" s="11" t="s">
        <v>734</v>
      </c>
      <c r="K17" s="11" t="s">
        <v>735</v>
      </c>
      <c r="L17" s="11" t="s">
        <v>736</v>
      </c>
      <c r="M17" s="48" t="s">
        <v>717</v>
      </c>
      <c r="N17" s="54" t="s">
        <v>737</v>
      </c>
      <c r="O17" s="55" t="s">
        <v>824</v>
      </c>
      <c r="P17" s="4" t="s">
        <v>437</v>
      </c>
      <c r="Q17" s="4" t="s">
        <v>612</v>
      </c>
      <c r="R17" s="4" t="s">
        <v>24</v>
      </c>
      <c r="S17" s="12" t="s">
        <v>107</v>
      </c>
      <c r="T17" s="6" t="s">
        <v>819</v>
      </c>
    </row>
    <row r="18" spans="1:20" ht="43.5" x14ac:dyDescent="0.35">
      <c r="A18" s="50" t="s">
        <v>738</v>
      </c>
      <c r="B18" s="11" t="s">
        <v>739</v>
      </c>
      <c r="C18" s="11" t="s">
        <v>24</v>
      </c>
      <c r="D18" s="34" t="s">
        <v>107</v>
      </c>
      <c r="E18" s="6" t="s">
        <v>696</v>
      </c>
      <c r="F18" s="6" t="s">
        <v>492</v>
      </c>
      <c r="G18" s="6" t="s">
        <v>518</v>
      </c>
      <c r="H18" s="6" t="s">
        <v>697</v>
      </c>
      <c r="I18" s="11" t="s">
        <v>698</v>
      </c>
      <c r="J18" s="11" t="s">
        <v>740</v>
      </c>
      <c r="K18" s="11" t="s">
        <v>741</v>
      </c>
      <c r="L18" s="11" t="s">
        <v>742</v>
      </c>
      <c r="M18" s="48" t="s">
        <v>702</v>
      </c>
      <c r="N18" s="54" t="s">
        <v>743</v>
      </c>
      <c r="O18" s="55" t="s">
        <v>822</v>
      </c>
      <c r="P18" s="4" t="s">
        <v>437</v>
      </c>
      <c r="Q18" s="4" t="s">
        <v>612</v>
      </c>
      <c r="R18" s="4" t="s">
        <v>24</v>
      </c>
      <c r="S18" s="12" t="s">
        <v>107</v>
      </c>
      <c r="T18" s="6" t="s">
        <v>820</v>
      </c>
    </row>
    <row r="19" spans="1:20" ht="29" x14ac:dyDescent="0.35">
      <c r="A19" s="50" t="s">
        <v>744</v>
      </c>
      <c r="B19" s="11" t="s">
        <v>745</v>
      </c>
      <c r="C19" s="11" t="s">
        <v>24</v>
      </c>
      <c r="D19" s="34" t="s">
        <v>107</v>
      </c>
      <c r="E19" s="6" t="s">
        <v>282</v>
      </c>
      <c r="F19" s="6" t="s">
        <v>492</v>
      </c>
      <c r="G19" s="6" t="s">
        <v>518</v>
      </c>
      <c r="H19" s="6" t="s">
        <v>697</v>
      </c>
      <c r="I19" s="11" t="s">
        <v>698</v>
      </c>
      <c r="J19" s="11" t="s">
        <v>746</v>
      </c>
      <c r="K19" s="11" t="s">
        <v>747</v>
      </c>
      <c r="L19" s="11" t="s">
        <v>748</v>
      </c>
      <c r="M19" s="48" t="s">
        <v>749</v>
      </c>
      <c r="N19" s="54" t="s">
        <v>750</v>
      </c>
      <c r="O19" s="55" t="s">
        <v>825</v>
      </c>
      <c r="P19" s="4" t="s">
        <v>437</v>
      </c>
      <c r="Q19" s="4" t="s">
        <v>612</v>
      </c>
      <c r="R19" s="4" t="s">
        <v>24</v>
      </c>
      <c r="S19" s="12" t="s">
        <v>107</v>
      </c>
      <c r="T19" s="6" t="s">
        <v>821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hyperlinks>
    <hyperlink ref="M2" r:id="rId1" tooltip="Bukti Retest Pass BUG-001 (POST /auth/change-password)" xr:uid="{8D884E27-D45B-402C-8671-4C0466C719BE}"/>
    <hyperlink ref="M3" r:id="rId2" tooltip="Bukti Retest Pass BUG-002 (GET /users/1)" xr:uid="{503CD299-2E1E-4C03-8021-8621B77273C8}"/>
    <hyperlink ref="M4" r:id="rId3" tooltip="Bukti Bug Temuan BUG-003 (GET /auth/me 500 created_at)" xr:uid="{57C2A90E-20D8-4D10-953E-A38CFFA6A7C6}"/>
    <hyperlink ref="M5" r:id="rId4" tooltip="Bukti Retest Pass BUG-004 (GET /users 500 created_at)" xr:uid="{1F57810D-BD62-4937-9803-3594E0E6E28B}"/>
    <hyperlink ref="M7" r:id="rId5" tooltip="Bukti Bug BUG-006 (Portal Login domain @taims.local)" xr:uid="{B1808939-EC94-4E6C-BC1C-5834B62EFD2E}"/>
    <hyperlink ref="M8" r:id="rId6" tooltip="Bukti Bug BUG-007 (Tabrakan teks Donut Chart 212.5%)" xr:uid="{68C24B08-1FBF-4512-976A-DB26187CE645}"/>
    <hyperlink ref="M9" r:id="rId7" tooltip="Bukti Bug BUG-008 (Sub-label Uptime statis hijau)" xr:uid="{8D051031-B322-4355-AC58-ACD701229676}"/>
    <hyperlink ref="M10" r:id="rId8" tooltip="Bukti Bug BUG-009 (Modal detail offline badge forced)" xr:uid="{957AC965-CDAE-4E45-9715-3F261B118AA6}"/>
    <hyperlink ref="M11" r:id="rId9" tooltip="Bukti Bug BUG-010 (Kontras rendah &amp; font mikroskopis)" xr:uid="{2472314D-181C-4762-93DD-373BD42FF2A8}"/>
    <hyperlink ref="M6" r:id="rId10" tooltip="Bukti Error ZIP Corrupt (Windows cannot open folder - zip is invalid)" xr:uid="{66D2B4BE-3BA7-41E6-9543-27F46434CB16}"/>
    <hyperlink ref="M12" r:id="rId11" tooltip="Buka Bukti Screenshot Hari-10" xr:uid="{554E9CD6-0E2D-46E9-99E9-86DF7BE25C93}"/>
    <hyperlink ref="M13" r:id="rId12" tooltip="Buka Bukti Screenshot Hari-10" xr:uid="{101E7DF8-CC3C-4B60-8E0F-863683CBE6BD}"/>
    <hyperlink ref="M14" r:id="rId13" tooltip="Buka Bukti Screenshot Hari-10" xr:uid="{4ED403FB-2A6E-49BE-9EC0-A9979F823AF8}"/>
    <hyperlink ref="M15" r:id="rId14" tooltip="Buka Bukti Screenshot Hari-10" xr:uid="{1225B56A-2AFB-4FDD-AD9E-C737023B98E6}"/>
    <hyperlink ref="M16" r:id="rId15" tooltip="Buka Bukti Screenshot Hari-10" xr:uid="{7C31B6E8-3F6C-4965-9B3F-FD830B430453}"/>
    <hyperlink ref="M17" r:id="rId16" tooltip="Buka Bukti Screenshot Hari-10" xr:uid="{BAEBB03A-5DEE-4DC5-A7F6-01A8B56A7F03}"/>
    <hyperlink ref="M18" r:id="rId17" tooltip="Buka Bukti Screenshot Hari-10" xr:uid="{FC09FA71-E15B-4E40-9FDE-FC2E06A5C390}"/>
    <hyperlink ref="M19" r:id="rId18" tooltip="Buka Bukti Screenshot Hari-10" xr:uid="{BE4C4261-C49E-4C6D-BD5B-5CB08247E9E3}"/>
  </hyperlinks>
  <pageMargins left="0.7" right="0.7" top="0.75" bottom="0.75" header="0.3" footer="0.3"/>
  <pageSetup orientation="portrait" r:id="rId1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N94"/>
  <sheetViews>
    <sheetView zoomScale="59" zoomScaleNormal="64" workbookViewId="0">
      <selection activeCell="E23" sqref="E23"/>
    </sheetView>
  </sheetViews>
  <sheetFormatPr defaultRowHeight="14.5" x14ac:dyDescent="0.35"/>
  <cols>
    <col min="1" max="1" width="14.6328125" customWidth="1"/>
    <col min="2" max="2" width="10.6328125" customWidth="1"/>
    <col min="3" max="3" width="12.6328125" customWidth="1"/>
    <col min="4" max="8" width="10.6328125" customWidth="1"/>
    <col min="9" max="9" width="12.6328125" customWidth="1"/>
    <col min="10" max="10" width="14.6328125" customWidth="1"/>
    <col min="11" max="11" width="41.453125" customWidth="1"/>
    <col min="12" max="12" width="32.26953125" customWidth="1"/>
  </cols>
  <sheetData>
    <row r="1" spans="1:14" x14ac:dyDescent="0.35">
      <c r="A1" s="3" t="s">
        <v>58</v>
      </c>
      <c r="B1" s="3" t="s">
        <v>72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22" t="s">
        <v>17</v>
      </c>
      <c r="L1" s="3" t="s">
        <v>81</v>
      </c>
    </row>
    <row r="2" spans="1:14" x14ac:dyDescent="0.35">
      <c r="A2" s="5">
        <v>46366</v>
      </c>
      <c r="B2" s="13">
        <v>1</v>
      </c>
      <c r="C2" s="4" t="s">
        <v>82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24" t="s">
        <v>83</v>
      </c>
      <c r="L2" s="7" t="s">
        <v>84</v>
      </c>
    </row>
    <row r="3" spans="1:14" x14ac:dyDescent="0.35">
      <c r="A3" s="5" t="s">
        <v>87</v>
      </c>
      <c r="B3" s="13">
        <v>2</v>
      </c>
      <c r="C3" s="4" t="s">
        <v>82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24" t="s">
        <v>85</v>
      </c>
      <c r="L3" s="7" t="s">
        <v>86</v>
      </c>
    </row>
    <row r="4" spans="1:14" x14ac:dyDescent="0.35">
      <c r="A4" s="12" t="s">
        <v>90</v>
      </c>
      <c r="B4" s="13">
        <v>3</v>
      </c>
      <c r="C4" s="4" t="s">
        <v>82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24" t="s">
        <v>88</v>
      </c>
      <c r="L4" s="7" t="s">
        <v>89</v>
      </c>
    </row>
    <row r="5" spans="1:14" x14ac:dyDescent="0.35">
      <c r="A5" s="12" t="s">
        <v>93</v>
      </c>
      <c r="B5" s="13">
        <v>4</v>
      </c>
      <c r="C5" s="4" t="s">
        <v>82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24" t="s">
        <v>91</v>
      </c>
      <c r="L5" s="7" t="s">
        <v>92</v>
      </c>
    </row>
    <row r="6" spans="1:14" x14ac:dyDescent="0.35">
      <c r="A6" s="12" t="s">
        <v>96</v>
      </c>
      <c r="B6" s="13">
        <v>5</v>
      </c>
      <c r="C6" s="4" t="s">
        <v>82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24" t="s">
        <v>94</v>
      </c>
      <c r="L6" s="7" t="s">
        <v>95</v>
      </c>
    </row>
    <row r="7" spans="1:14" x14ac:dyDescent="0.35">
      <c r="A7" s="12" t="s">
        <v>99</v>
      </c>
      <c r="B7" s="13">
        <v>6</v>
      </c>
      <c r="C7" s="4" t="s">
        <v>82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24" t="s">
        <v>97</v>
      </c>
      <c r="L7" s="7" t="s">
        <v>98</v>
      </c>
    </row>
    <row r="8" spans="1:14" x14ac:dyDescent="0.35">
      <c r="A8" s="12" t="s">
        <v>101</v>
      </c>
      <c r="B8" s="13">
        <v>7</v>
      </c>
      <c r="C8" s="4" t="s">
        <v>82</v>
      </c>
      <c r="D8" s="13">
        <v>12</v>
      </c>
      <c r="E8" s="13">
        <v>12</v>
      </c>
      <c r="F8" s="13">
        <v>0</v>
      </c>
      <c r="G8" s="13">
        <v>0</v>
      </c>
      <c r="H8" s="13">
        <v>0</v>
      </c>
      <c r="I8" s="13">
        <v>5</v>
      </c>
      <c r="J8" s="13">
        <v>5</v>
      </c>
      <c r="K8" s="24" t="s">
        <v>580</v>
      </c>
      <c r="L8" s="7" t="s">
        <v>581</v>
      </c>
    </row>
    <row r="9" spans="1:14" x14ac:dyDescent="0.35">
      <c r="A9" s="12" t="s">
        <v>104</v>
      </c>
      <c r="B9" s="13">
        <v>8</v>
      </c>
      <c r="C9" s="4" t="s">
        <v>82</v>
      </c>
      <c r="D9" s="13">
        <v>7</v>
      </c>
      <c r="E9" s="13">
        <v>7</v>
      </c>
      <c r="F9" s="13">
        <v>0</v>
      </c>
      <c r="G9" s="13">
        <v>0</v>
      </c>
      <c r="H9" s="13">
        <v>0</v>
      </c>
      <c r="I9" s="13">
        <v>0</v>
      </c>
      <c r="J9" s="13">
        <v>5</v>
      </c>
      <c r="K9" s="24" t="s">
        <v>582</v>
      </c>
      <c r="L9" s="7" t="s">
        <v>583</v>
      </c>
    </row>
    <row r="10" spans="1:14" x14ac:dyDescent="0.35">
      <c r="A10" s="12" t="s">
        <v>104</v>
      </c>
      <c r="B10" s="13">
        <v>9</v>
      </c>
      <c r="C10" s="4" t="s">
        <v>82</v>
      </c>
      <c r="D10" s="13">
        <v>15</v>
      </c>
      <c r="E10" s="13">
        <v>15</v>
      </c>
      <c r="F10" s="13">
        <v>0</v>
      </c>
      <c r="G10" s="13">
        <v>0</v>
      </c>
      <c r="H10" s="13">
        <v>0</v>
      </c>
      <c r="I10" s="13">
        <v>0</v>
      </c>
      <c r="J10" s="13">
        <v>5</v>
      </c>
      <c r="K10" s="24" t="s">
        <v>102</v>
      </c>
      <c r="L10" s="7" t="s">
        <v>103</v>
      </c>
    </row>
    <row r="11" spans="1:14" x14ac:dyDescent="0.35">
      <c r="A11" s="41" t="s">
        <v>107</v>
      </c>
      <c r="B11" s="42">
        <v>10</v>
      </c>
      <c r="C11" s="43" t="s">
        <v>82</v>
      </c>
      <c r="D11" s="42">
        <v>9</v>
      </c>
      <c r="E11" s="42">
        <v>9</v>
      </c>
      <c r="F11" s="42">
        <v>0</v>
      </c>
      <c r="G11" s="42">
        <v>0</v>
      </c>
      <c r="H11" s="42">
        <v>0</v>
      </c>
      <c r="I11" s="42">
        <v>1</v>
      </c>
      <c r="J11" s="42">
        <v>0</v>
      </c>
      <c r="K11" s="44" t="s">
        <v>105</v>
      </c>
      <c r="L11" s="40" t="s">
        <v>106</v>
      </c>
    </row>
    <row r="12" spans="1:14" x14ac:dyDescent="0.35">
      <c r="A12" s="12" t="s">
        <v>110</v>
      </c>
      <c r="B12" s="13">
        <v>11</v>
      </c>
      <c r="C12" s="4" t="s">
        <v>82</v>
      </c>
      <c r="D12" s="13">
        <v>6</v>
      </c>
      <c r="E12" s="13">
        <v>6</v>
      </c>
      <c r="F12" s="13">
        <v>0</v>
      </c>
      <c r="G12" s="13">
        <v>0</v>
      </c>
      <c r="H12" s="13">
        <v>0</v>
      </c>
      <c r="I12" s="13">
        <v>1</v>
      </c>
      <c r="J12" s="13">
        <v>0</v>
      </c>
      <c r="K12" s="7" t="s">
        <v>108</v>
      </c>
      <c r="L12" s="7" t="s">
        <v>109</v>
      </c>
      <c r="M12" s="49"/>
      <c r="N12" s="49"/>
    </row>
    <row r="13" spans="1:14" x14ac:dyDescent="0.35">
      <c r="A13" s="12" t="s">
        <v>113</v>
      </c>
      <c r="B13" s="13">
        <v>12</v>
      </c>
      <c r="C13" s="4" t="s">
        <v>82</v>
      </c>
      <c r="D13" s="13">
        <v>6</v>
      </c>
      <c r="E13" s="13">
        <v>6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7" t="s">
        <v>111</v>
      </c>
      <c r="L13" s="7" t="s">
        <v>112</v>
      </c>
      <c r="M13" s="49"/>
    </row>
    <row r="14" spans="1:14" x14ac:dyDescent="0.35">
      <c r="A14" s="12" t="s">
        <v>116</v>
      </c>
      <c r="B14" s="13">
        <v>13</v>
      </c>
      <c r="C14" s="4" t="s">
        <v>82</v>
      </c>
      <c r="D14" s="13">
        <v>5</v>
      </c>
      <c r="E14" s="13">
        <v>5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7" t="s">
        <v>114</v>
      </c>
      <c r="L14" s="7" t="s">
        <v>115</v>
      </c>
      <c r="M14" s="49"/>
    </row>
    <row r="15" spans="1:14" x14ac:dyDescent="0.35">
      <c r="A15" s="12" t="s">
        <v>119</v>
      </c>
      <c r="B15" s="13">
        <v>14</v>
      </c>
      <c r="C15" s="4" t="s">
        <v>82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7" t="s">
        <v>117</v>
      </c>
      <c r="L15" s="7" t="s">
        <v>118</v>
      </c>
      <c r="M15" s="49"/>
    </row>
    <row r="16" spans="1:14" x14ac:dyDescent="0.35">
      <c r="A16" s="12" t="s">
        <v>122</v>
      </c>
      <c r="B16" s="13">
        <v>15</v>
      </c>
      <c r="C16" s="4" t="s">
        <v>82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7" t="s">
        <v>120</v>
      </c>
      <c r="L16" s="7" t="s">
        <v>121</v>
      </c>
      <c r="M16" s="49"/>
    </row>
    <row r="17" spans="1:13" x14ac:dyDescent="0.35">
      <c r="A17" s="12" t="s">
        <v>125</v>
      </c>
      <c r="B17" s="13">
        <v>16</v>
      </c>
      <c r="C17" s="4" t="s">
        <v>82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7" t="s">
        <v>123</v>
      </c>
      <c r="L17" s="7" t="s">
        <v>124</v>
      </c>
      <c r="M17" s="49"/>
    </row>
    <row r="18" spans="1:13" x14ac:dyDescent="0.35">
      <c r="A18" s="12" t="s">
        <v>128</v>
      </c>
      <c r="B18" s="13">
        <v>17</v>
      </c>
      <c r="C18" s="4" t="s">
        <v>82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7" t="s">
        <v>126</v>
      </c>
      <c r="L18" s="7" t="s">
        <v>127</v>
      </c>
      <c r="M18" s="49"/>
    </row>
    <row r="19" spans="1:13" x14ac:dyDescent="0.35">
      <c r="A19" s="12" t="s">
        <v>131</v>
      </c>
      <c r="B19" s="13">
        <v>18</v>
      </c>
      <c r="C19" s="4" t="s">
        <v>82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7" t="s">
        <v>129</v>
      </c>
      <c r="L19" s="7" t="s">
        <v>130</v>
      </c>
      <c r="M19" s="49"/>
    </row>
    <row r="20" spans="1:13" x14ac:dyDescent="0.35">
      <c r="A20" s="12" t="s">
        <v>134</v>
      </c>
      <c r="B20" s="13">
        <v>19</v>
      </c>
      <c r="C20" s="4" t="s">
        <v>82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24" t="s">
        <v>132</v>
      </c>
      <c r="L20" s="7" t="s">
        <v>133</v>
      </c>
    </row>
    <row r="21" spans="1:13" x14ac:dyDescent="0.35">
      <c r="A21" s="5" t="s">
        <v>137</v>
      </c>
      <c r="B21" s="13">
        <v>20</v>
      </c>
      <c r="C21" s="4" t="s">
        <v>82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24" t="s">
        <v>135</v>
      </c>
      <c r="L21" s="7" t="s">
        <v>136</v>
      </c>
    </row>
    <row r="22" spans="1:13" x14ac:dyDescent="0.35">
      <c r="A22" s="5">
        <v>46033</v>
      </c>
      <c r="B22" s="13">
        <v>21</v>
      </c>
      <c r="C22" s="4" t="s">
        <v>82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24" t="s">
        <v>138</v>
      </c>
      <c r="L22" s="7" t="s">
        <v>139</v>
      </c>
    </row>
    <row r="23" spans="1:13" x14ac:dyDescent="0.35">
      <c r="A23" s="5">
        <v>46064</v>
      </c>
      <c r="B23" s="13">
        <v>22</v>
      </c>
      <c r="C23" s="4" t="s">
        <v>82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24" t="s">
        <v>140</v>
      </c>
      <c r="L23" s="7" t="s">
        <v>141</v>
      </c>
    </row>
    <row r="24" spans="1:13" x14ac:dyDescent="0.35">
      <c r="A24" s="5">
        <v>46092</v>
      </c>
      <c r="B24" s="13">
        <v>23</v>
      </c>
      <c r="C24" s="4" t="s">
        <v>82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24" t="s">
        <v>142</v>
      </c>
      <c r="L24" s="7" t="s">
        <v>143</v>
      </c>
    </row>
    <row r="25" spans="1:13" x14ac:dyDescent="0.35">
      <c r="A25" s="5">
        <v>46123</v>
      </c>
      <c r="B25" s="13">
        <v>24</v>
      </c>
      <c r="C25" s="4" t="s">
        <v>82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24" t="s">
        <v>144</v>
      </c>
      <c r="L25" s="7" t="s">
        <v>145</v>
      </c>
    </row>
    <row r="26" spans="1:13" x14ac:dyDescent="0.35">
      <c r="A26" s="25">
        <v>46153</v>
      </c>
      <c r="B26" s="26">
        <v>25</v>
      </c>
      <c r="C26" s="17" t="s">
        <v>82</v>
      </c>
      <c r="D26" s="26">
        <v>4</v>
      </c>
      <c r="E26" s="26">
        <v>4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7" t="s">
        <v>146</v>
      </c>
      <c r="L26" s="7" t="s">
        <v>147</v>
      </c>
    </row>
    <row r="27" spans="1:13" x14ac:dyDescent="0.35">
      <c r="A27" s="5">
        <v>46184</v>
      </c>
      <c r="B27" s="10">
        <v>26</v>
      </c>
      <c r="C27" s="7" t="s">
        <v>82</v>
      </c>
      <c r="D27" s="10">
        <v>9</v>
      </c>
      <c r="E27" s="10">
        <v>7</v>
      </c>
      <c r="F27" s="10">
        <v>2</v>
      </c>
      <c r="G27" s="10">
        <v>0</v>
      </c>
      <c r="H27" s="10">
        <v>0</v>
      </c>
      <c r="I27" s="10">
        <v>2</v>
      </c>
      <c r="J27" s="10">
        <v>1</v>
      </c>
      <c r="K27" s="7" t="s">
        <v>148</v>
      </c>
      <c r="L27" s="7" t="s">
        <v>149</v>
      </c>
    </row>
    <row r="28" spans="1:13" x14ac:dyDescent="0.35">
      <c r="A28" s="5">
        <v>46214</v>
      </c>
      <c r="B28" s="10">
        <v>27</v>
      </c>
      <c r="C28" s="7" t="s">
        <v>82</v>
      </c>
      <c r="D28" s="10">
        <v>6</v>
      </c>
      <c r="E28" s="10">
        <v>6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7" t="s">
        <v>150</v>
      </c>
      <c r="L28" s="7" t="s">
        <v>151</v>
      </c>
    </row>
    <row r="29" spans="1:13" x14ac:dyDescent="0.35">
      <c r="A29" s="5">
        <v>46245</v>
      </c>
      <c r="B29" s="10">
        <v>28</v>
      </c>
      <c r="C29" s="7" t="s">
        <v>82</v>
      </c>
      <c r="D29" s="10">
        <v>4</v>
      </c>
      <c r="E29" s="10">
        <v>4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7" t="s">
        <v>152</v>
      </c>
      <c r="L29" s="7" t="s">
        <v>153</v>
      </c>
    </row>
    <row r="30" spans="1:13" x14ac:dyDescent="0.35">
      <c r="A30" s="5">
        <v>46276</v>
      </c>
      <c r="B30" s="10">
        <v>29</v>
      </c>
      <c r="C30" s="7" t="s">
        <v>82</v>
      </c>
      <c r="D30" s="10">
        <v>5</v>
      </c>
      <c r="E30" s="10">
        <v>5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7" t="s">
        <v>154</v>
      </c>
      <c r="L30" s="7" t="s">
        <v>155</v>
      </c>
    </row>
    <row r="31" spans="1:13" x14ac:dyDescent="0.35">
      <c r="A31" s="5">
        <v>46306</v>
      </c>
      <c r="B31" s="10">
        <v>30</v>
      </c>
      <c r="C31" s="7" t="s">
        <v>82</v>
      </c>
      <c r="D31" s="10">
        <v>6</v>
      </c>
      <c r="E31" s="10">
        <v>6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7" t="s">
        <v>156</v>
      </c>
      <c r="L31" s="7" t="s">
        <v>157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5"/>
  <sheetViews>
    <sheetView tabSelected="1" zoomScale="75" zoomScaleNormal="75" workbookViewId="0">
      <selection activeCell="E23" sqref="E23"/>
    </sheetView>
  </sheetViews>
  <sheetFormatPr defaultRowHeight="14.5" x14ac:dyDescent="0.35"/>
  <cols>
    <col min="1" max="1" width="24.6328125" customWidth="1"/>
    <col min="2" max="5" width="12.6328125" customWidth="1"/>
    <col min="6" max="6" width="14.6328125" customWidth="1"/>
  </cols>
  <sheetData>
    <row r="1" spans="1:6" x14ac:dyDescent="0.35">
      <c r="A1" s="3" t="s">
        <v>2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158</v>
      </c>
    </row>
    <row r="2" spans="1:6" x14ac:dyDescent="0.35">
      <c r="A2" s="27" t="s">
        <v>35</v>
      </c>
      <c r="B2" s="13">
        <f>COUNTIF(MASTER_TC!C:C,A2)</f>
        <v>14</v>
      </c>
      <c r="C2" s="13">
        <f>COUNTIFS(MASTER_TC!C:C,A2,MASTER_TC!K:K,"PASS")</f>
        <v>14</v>
      </c>
      <c r="D2" s="13">
        <f>COUNTIFS(MASTER_TC!C:C,A2,MASTER_TC!K:K,"FAIL")</f>
        <v>0</v>
      </c>
      <c r="E2" s="13">
        <f>COUNTIFS(MASTER_TC!C:C,A2,MASTER_TC!K:K,"BLOCKED")</f>
        <v>0</v>
      </c>
      <c r="F2" s="21">
        <f t="shared" ref="F2:F15" si="0">IF(B2=0,0,C2/B2)</f>
        <v>1</v>
      </c>
    </row>
    <row r="3" spans="1:6" x14ac:dyDescent="0.35">
      <c r="A3" s="27" t="s">
        <v>159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28">
        <f t="shared" si="0"/>
        <v>0</v>
      </c>
    </row>
    <row r="4" spans="1:6" x14ac:dyDescent="0.35">
      <c r="A4" s="27" t="s">
        <v>160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28">
        <f t="shared" si="0"/>
        <v>0</v>
      </c>
    </row>
    <row r="5" spans="1:6" x14ac:dyDescent="0.35">
      <c r="A5" s="27" t="s">
        <v>161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28">
        <f t="shared" si="0"/>
        <v>0</v>
      </c>
    </row>
    <row r="6" spans="1:6" x14ac:dyDescent="0.35">
      <c r="A6" s="27" t="s">
        <v>162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28">
        <f t="shared" si="0"/>
        <v>0</v>
      </c>
    </row>
    <row r="7" spans="1:6" x14ac:dyDescent="0.35">
      <c r="A7" s="27" t="s">
        <v>163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28">
        <f t="shared" si="0"/>
        <v>0</v>
      </c>
    </row>
    <row r="8" spans="1:6" x14ac:dyDescent="0.35">
      <c r="A8" s="27" t="s">
        <v>164</v>
      </c>
      <c r="B8" s="13">
        <f>COUNTIF(MASTER_TC!C:C,A8)</f>
        <v>5</v>
      </c>
      <c r="C8" s="13">
        <f>COUNTIFS(MASTER_TC!C:C,A8,MASTER_TC!K:K,"PASS")</f>
        <v>2</v>
      </c>
      <c r="D8" s="13">
        <f>COUNTIFS(MASTER_TC!C:C,A8,MASTER_TC!K:K,"FAIL")</f>
        <v>0</v>
      </c>
      <c r="E8" s="13">
        <f>COUNTIFS(MASTER_TC!C:C,A8,MASTER_TC!K:K,"BLOCKED")</f>
        <v>0</v>
      </c>
      <c r="F8" s="28">
        <f t="shared" si="0"/>
        <v>0.4</v>
      </c>
    </row>
    <row r="9" spans="1:6" x14ac:dyDescent="0.35">
      <c r="A9" s="27" t="s">
        <v>165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28">
        <f t="shared" si="0"/>
        <v>0</v>
      </c>
    </row>
    <row r="10" spans="1:6" x14ac:dyDescent="0.35">
      <c r="A10" s="27" t="s">
        <v>166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28">
        <f t="shared" si="0"/>
        <v>0</v>
      </c>
    </row>
    <row r="11" spans="1:6" x14ac:dyDescent="0.35">
      <c r="A11" s="27" t="s">
        <v>167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28">
        <f t="shared" si="0"/>
        <v>0</v>
      </c>
    </row>
    <row r="12" spans="1:6" x14ac:dyDescent="0.35">
      <c r="A12" s="27" t="s">
        <v>146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28">
        <f t="shared" si="0"/>
        <v>0</v>
      </c>
    </row>
    <row r="13" spans="1:6" x14ac:dyDescent="0.35">
      <c r="A13" s="27" t="s">
        <v>168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28">
        <f t="shared" si="0"/>
        <v>0</v>
      </c>
    </row>
    <row r="14" spans="1:6" x14ac:dyDescent="0.35">
      <c r="A14" s="27" t="s">
        <v>531</v>
      </c>
      <c r="B14" s="13">
        <f>COUNTIF(MASTER_TC!C:C,A14)</f>
        <v>20</v>
      </c>
      <c r="C14" s="13">
        <f>COUNTIFS(MASTER_TC!C:C,A14,MASTER_TC!K:K,"PASS")</f>
        <v>20</v>
      </c>
      <c r="D14" s="13">
        <f>COUNTIFS(MASTER_TC!C:C,A14,MASTER_TC!K:K,"FAIL")</f>
        <v>0</v>
      </c>
      <c r="E14" s="13">
        <f>COUNTIFS(MASTER_TC!C:C,A14,MASTER_TC!K:K,"BLOCKED")</f>
        <v>0</v>
      </c>
      <c r="F14" s="28">
        <f t="shared" si="0"/>
        <v>1</v>
      </c>
    </row>
    <row r="15" spans="1:6" x14ac:dyDescent="0.35">
      <c r="A15" s="29" t="s">
        <v>588</v>
      </c>
      <c r="B15" s="30">
        <f>SUM(B2:B14)</f>
        <v>39</v>
      </c>
      <c r="C15" s="30">
        <f>SUM(C2:C14)</f>
        <v>36</v>
      </c>
      <c r="D15" s="30">
        <f>SUM(D2:D14)</f>
        <v>0</v>
      </c>
      <c r="E15" s="30">
        <f>SUM(E2:E14)</f>
        <v>0</v>
      </c>
      <c r="F15" s="31">
        <f t="shared" si="0"/>
        <v>0.92307692307692313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2026-10-23T17:19:36Z</dcterms:modified>
</cp:coreProperties>
</file>
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nkPad\Desktop\docs\qa\"/>
    </mc:Choice>
  </mc:AlternateContent>
  <xr:revisionPtr revIDLastSave="0" documentId="8_{21EC5A2F-6787-4B37-B4A1-FDDFB97F32FC}" xr6:coauthVersionLast="47" xr6:coauthVersionMax="47" xr10:uidLastSave="{00000000-0000-0000-0000-000000000000}"/>
  <bookViews>
    <workbookView xWindow="-110" yWindow="-110" windowWidth="19420" windowHeight="11020" xr2:uid="{D20540B9-5A4B-4C0F-A1AA-6997D01BA992}"/>
  </bookViews>
  <sheets>
    <sheet name="MASTER_TC" sheetId="1" r:id="rId1"/>
    <sheet name="BUG_REPORTS" sheetId="2" r:id="rId2"/>
    <sheet name="EXECUTION_LOG" sheetId="3" r:id="rId3"/>
    <sheet name="DASHBOARD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" i="4" l="1"/>
  <c r="C2" i="4"/>
  <c r="D2" i="4"/>
  <c r="E2" i="4"/>
  <c r="B3" i="4"/>
  <c r="F3" i="4" s="1"/>
  <c r="C3" i="4"/>
  <c r="D3" i="4"/>
  <c r="E3" i="4"/>
  <c r="B4" i="4"/>
  <c r="F4" i="4" s="1"/>
  <c r="C4" i="4"/>
  <c r="D4" i="4"/>
  <c r="E4" i="4"/>
  <c r="B5" i="4"/>
  <c r="F5" i="4" s="1"/>
  <c r="C5" i="4"/>
  <c r="D5" i="4"/>
  <c r="E5" i="4"/>
  <c r="B6" i="4"/>
  <c r="F6" i="4" s="1"/>
  <c r="C6" i="4"/>
  <c r="D6" i="4"/>
  <c r="E6" i="4"/>
  <c r="B7" i="4"/>
  <c r="F7" i="4" s="1"/>
  <c r="C7" i="4"/>
  <c r="D7" i="4"/>
  <c r="E7" i="4"/>
  <c r="B8" i="4"/>
  <c r="C8" i="4"/>
  <c r="D8" i="4"/>
  <c r="E8" i="4"/>
  <c r="B9" i="4"/>
  <c r="F9" i="4" s="1"/>
  <c r="C9" i="4"/>
  <c r="D9" i="4"/>
  <c r="E9" i="4"/>
  <c r="B10" i="4"/>
  <c r="F10" i="4" s="1"/>
  <c r="C10" i="4"/>
  <c r="D10" i="4"/>
  <c r="E10" i="4"/>
  <c r="B11" i="4"/>
  <c r="F11" i="4" s="1"/>
  <c r="C11" i="4"/>
  <c r="D11" i="4"/>
  <c r="E11" i="4"/>
  <c r="B12" i="4"/>
  <c r="F12" i="4" s="1"/>
  <c r="C12" i="4"/>
  <c r="D12" i="4"/>
  <c r="E12" i="4"/>
  <c r="B13" i="4"/>
  <c r="F13" i="4" s="1"/>
  <c r="C13" i="4"/>
  <c r="D13" i="4"/>
  <c r="E13" i="4"/>
  <c r="F8" i="4" l="1"/>
  <c r="F2" i="4"/>
</calcChain>
</file>

<file path=xl/sharedStrings.xml><?xml version="1.0" encoding="utf-8"?>
<sst xmlns="http://schemas.openxmlformats.org/spreadsheetml/2006/main" count="893" uniqueCount="458">
  <si>
    <t>TC ID</t>
  </si>
  <si>
    <t>Hari</t>
  </si>
  <si>
    <t>Modul</t>
  </si>
  <si>
    <t>Fitur</t>
  </si>
  <si>
    <t>Jenis Uji</t>
  </si>
  <si>
    <t>Prioritas</t>
  </si>
  <si>
    <t>Prasyarat</t>
  </si>
  <si>
    <t>Langkah Uji</t>
  </si>
  <si>
    <t>Expected Result</t>
  </si>
  <si>
    <t>Actual Result</t>
  </si>
  <si>
    <t>Status</t>
  </si>
  <si>
    <t>Severity</t>
  </si>
  <si>
    <t>Bug ID</t>
  </si>
  <si>
    <t>Bukti</t>
  </si>
  <si>
    <t>Penguji</t>
  </si>
  <si>
    <t>Tanggal Uji</t>
  </si>
  <si>
    <t>Commit/Build</t>
  </si>
  <si>
    <t>Catatan</t>
  </si>
  <si>
    <t>TC-API-001</t>
  </si>
  <si>
    <t>GET List Assets</t>
  </si>
  <si>
    <t>Normal</t>
  </si>
  <si>
    <t>P1</t>
  </si>
  <si>
    <t>Backend jalan, Postman siap</t>
  </si>
  <si>
    <t xml:space="preserve">1. Buka Postman
2. Kirim GET /api/assets 
3. Amati response </t>
  </si>
  <si>
    <t>HTTP 200, list aset tampil</t>
  </si>
  <si>
    <t>Reza Tri</t>
  </si>
  <si>
    <t>Test pertama — 
BLOCKED karena backend belum jalan</t>
  </si>
  <si>
    <t>TC-API-002</t>
  </si>
  <si>
    <t xml:space="preserve">TC-API-003 </t>
  </si>
  <si>
    <t>TC-API-004</t>
  </si>
  <si>
    <t>TC-API-005</t>
  </si>
  <si>
    <t>TC-API-006</t>
  </si>
  <si>
    <t>TC-API-007</t>
  </si>
  <si>
    <t>TC-API-008</t>
  </si>
  <si>
    <t>TC-API-009</t>
  </si>
  <si>
    <t>TC-API-010</t>
  </si>
  <si>
    <t>TC-API-011</t>
  </si>
  <si>
    <t>API</t>
  </si>
  <si>
    <t>GET Detail Asset</t>
  </si>
  <si>
    <t>POST Create Asset</t>
  </si>
  <si>
    <t>POST tanpa field wajib</t>
  </si>
  <si>
    <t>GET ID tidak ada</t>
  </si>
  <si>
    <t>PUT Update Asset</t>
  </si>
  <si>
    <t>DELETE Asset</t>
  </si>
  <si>
    <t>Validasi IP Address</t>
  </si>
  <si>
    <t>Duplikasi Asset Code</t>
  </si>
  <si>
    <t>Endpoint tanpa auth</t>
  </si>
  <si>
    <t>Response time &lt; 2 detik</t>
  </si>
  <si>
    <t>Negatif</t>
  </si>
  <si>
    <t>Boundary</t>
  </si>
  <si>
    <t>P2</t>
  </si>
  <si>
    <t>HTTP 200, detail aset tampil</t>
  </si>
  <si>
    <t>HTTP 201, aset tersimpan</t>
  </si>
  <si>
    <t>HTTP 400, error jelas</t>
  </si>
  <si>
    <t>HTTP 404, error jelas</t>
  </si>
  <si>
    <t>HTTP 200, data terupdate</t>
  </si>
  <si>
    <t>HTTP 200, aset terhapus</t>
  </si>
  <si>
    <t>HTTP 409, error duplicate</t>
  </si>
  <si>
    <t>HTTP 401 Unauthorized</t>
  </si>
  <si>
    <t>Response time &lt; 2000 ms</t>
  </si>
  <si>
    <t>Judul</t>
  </si>
  <si>
    <t>Dilaporkan oleh</t>
  </si>
  <si>
    <t>Tanggal</t>
  </si>
  <si>
    <t>Priority</t>
  </si>
  <si>
    <t>Environment</t>
  </si>
  <si>
    <t>Langkah Reproduksi</t>
  </si>
  <si>
    <t>Frekuensi</t>
  </si>
  <si>
    <t>Dampak</t>
  </si>
  <si>
    <t>PIC Perbaikan</t>
  </si>
  <si>
    <t>Verified oleh</t>
  </si>
  <si>
    <t>Tanggal Verifikasi</t>
  </si>
  <si>
    <t>Catatan Verifikasi</t>
  </si>
  <si>
    <t>BUG-001</t>
  </si>
  <si>
    <t>Monitoring</t>
  </si>
  <si>
    <t>Critical</t>
  </si>
  <si>
    <t>Staging</t>
  </si>
  <si>
    <t>abc1234</t>
  </si>
  <si>
    <t>Status Offline</t>
  </si>
  <si>
    <t>Status masih Online</t>
  </si>
  <si>
    <t>Selalu</t>
  </si>
  <si>
    <t>Monitoring tidak akurat</t>
  </si>
  <si>
    <t>screenshots/BUG-001.png</t>
  </si>
  <si>
    <t>Open</t>
  </si>
  <si>
    <t>Ananda</t>
  </si>
  <si>
    <t>Menunggu perbaikan</t>
  </si>
  <si>
    <t>BUG-002</t>
  </si>
  <si>
    <t>High</t>
  </si>
  <si>
    <t>HTTP 500</t>
  </si>
  <si>
    <t>Update aset tidak bisa</t>
  </si>
  <si>
    <t>screenshots/BUG-002.png</t>
  </si>
  <si>
    <t>Ahmad Reza</t>
  </si>
  <si>
    <t>Menunggu fix</t>
  </si>
  <si>
    <t>1. ESP32 online 
2. Matikan 
3. Tunggu 6 menit 
4. Refresh dashboard</t>
  </si>
  <si>
    <t>1. PUT /api/assets/AST-001 
2. Body valid 
3. Amati response</t>
  </si>
  <si>
    <t>Status device tetap Online 
padahal ESP32 mati</t>
  </si>
  <si>
    <t>Endpoint PUT 500 Internal 
Server Error</t>
  </si>
  <si>
    <t>Hari ke-</t>
  </si>
  <si>
    <t>Shift</t>
  </si>
  <si>
    <t>Total TC</t>
  </si>
  <si>
    <t>PASS</t>
  </si>
  <si>
    <t>FAIL</t>
  </si>
  <si>
    <t>BLOCKED</t>
  </si>
  <si>
    <t>SKIP</t>
  </si>
  <si>
    <t>Bug Baru</t>
  </si>
  <si>
    <t>Bug Verified</t>
  </si>
  <si>
    <t>Link Test Report</t>
  </si>
  <si>
    <t>Shift 2</t>
  </si>
  <si>
    <t>Setup QA &amp; Docs, blocker backend</t>
  </si>
  <si>
    <t>test-reports/2026-10-11_Hari-1.md</t>
  </si>
  <si>
    <t>Susun test case tambahan</t>
  </si>
  <si>
    <t>test-reports/2026-10-12_Hari-2.md</t>
  </si>
  <si>
    <t>13/10/2026</t>
  </si>
  <si>
    <t>Validasi test case dengan Damar</t>
  </si>
  <si>
    <t>test-reports/2026-10-13_Hari-3.md</t>
  </si>
  <si>
    <t>14/10/2026</t>
  </si>
  <si>
    <t>Review acceptance criteria</t>
  </si>
  <si>
    <t>test-reports/2026-10-14_Hari-4.md</t>
  </si>
  <si>
    <t>15/10/2026</t>
  </si>
  <si>
    <t>Review architecture</t>
  </si>
  <si>
    <t>test-reports/2026-10-15_Hari-5.md</t>
  </si>
  <si>
    <t>16/10/2026</t>
  </si>
  <si>
    <t>Uji schema database</t>
  </si>
  <si>
    <t>test-reports/2026-10-16_Hari-6.md</t>
  </si>
  <si>
    <t>17/10/2026</t>
  </si>
  <si>
    <t>Test checklist wireframe</t>
  </si>
  <si>
    <t>test-reports/2026-10-17_Hari-7.md</t>
  </si>
  <si>
    <t>18/10/2026</t>
  </si>
  <si>
    <t>API dasar + smoke test</t>
  </si>
  <si>
    <t>test-reports/2026-10-18_Hari-8.md</t>
  </si>
  <si>
    <t>19/10/2026</t>
  </si>
  <si>
    <t>API validation</t>
  </si>
  <si>
    <t>test-reports/2026-10-19_Hari-9.md</t>
  </si>
  <si>
    <t>20/10/2026</t>
  </si>
  <si>
    <t>Smoke test MVP</t>
  </si>
  <si>
    <t>test-reports/2026-10-20_Hari-10.md</t>
  </si>
  <si>
    <t>21/10/2026</t>
  </si>
  <si>
    <t>Monitoring engine</t>
  </si>
  <si>
    <t>test-reports/2026-10-21_Hari-11.md</t>
  </si>
  <si>
    <t>22/10/2026</t>
  </si>
  <si>
    <t>Retry logic</t>
  </si>
  <si>
    <t>test-reports/2026-10-22_Hari-12.md</t>
  </si>
  <si>
    <t>23/10/2026</t>
  </si>
  <si>
    <t>Heartbeat normal</t>
  </si>
  <si>
    <t>test-reports/2026-10-23_Hari-13.md</t>
  </si>
  <si>
    <t>24/10/2026</t>
  </si>
  <si>
    <t>Reconnect test</t>
  </si>
  <si>
    <t>test-reports/2026-10-24_Hari-14.md</t>
  </si>
  <si>
    <t>25/10/2026</t>
  </si>
  <si>
    <t>Dashboard utama</t>
  </si>
  <si>
    <t>test-reports/2026-10-25_Hari-15.md</t>
  </si>
  <si>
    <t>26/10/2026</t>
  </si>
  <si>
    <t>List &amp; filter</t>
  </si>
  <si>
    <t>test-reports/2026-10-26_Hari-16.md</t>
  </si>
  <si>
    <t>27/10/2026</t>
  </si>
  <si>
    <t>Detail device</t>
  </si>
  <si>
    <t>test-reports/2026-10-27_Hari-17.md</t>
  </si>
  <si>
    <t>28/10/2026</t>
  </si>
  <si>
    <t>History</t>
  </si>
  <si>
    <t>test-reports/2026-10-28_Hari-18.md</t>
  </si>
  <si>
    <t>29/10/2026</t>
  </si>
  <si>
    <t>Uptime/downtime</t>
  </si>
  <si>
    <t>test-reports/2026-10-29_Hari-19.md</t>
  </si>
  <si>
    <t>30/10/2026</t>
  </si>
  <si>
    <t>MVP release</t>
  </si>
  <si>
    <t>test-reports/2026-10-30_Hari-20.md</t>
  </si>
  <si>
    <t>31/10/2026</t>
  </si>
  <si>
    <t>Offline alert</t>
  </si>
  <si>
    <t>test-reports/2026-10-31_Hari-21.md</t>
  </si>
  <si>
    <t>Recovery alert</t>
  </si>
  <si>
    <t>test-reports/2026-11-01_Hari-22.md</t>
  </si>
  <si>
    <t>Map/location</t>
  </si>
  <si>
    <t>test-reports/2026-11-02_Hari-23.md</t>
  </si>
  <si>
    <t>AI automation</t>
  </si>
  <si>
    <t>test-reports/2026-11-03_Hari-24.md</t>
  </si>
  <si>
    <t>Reporting</t>
  </si>
  <si>
    <t>test-reports/2026-11-04_Hari-25.md</t>
  </si>
  <si>
    <t>Security test</t>
  </si>
  <si>
    <t>test-reports/2026-11-05_Hari-26.md</t>
  </si>
  <si>
    <t>Failure simulation</t>
  </si>
  <si>
    <t>test-reports/2026-11-06_Hari-27.md</t>
  </si>
  <si>
    <t>Regression test</t>
  </si>
  <si>
    <t>test-reports/2026-11-07_Hari-28.md</t>
  </si>
  <si>
    <t>Dokumentasi</t>
  </si>
  <si>
    <t>test-reports/2026-11-08_Hari-29.md</t>
  </si>
  <si>
    <t>Final demo</t>
  </si>
  <si>
    <t>test-reports/2026-11-09_Hari-30.md</t>
  </si>
  <si>
    <t>% Progress</t>
  </si>
  <si>
    <t>Device Monitoring</t>
  </si>
  <si>
    <t>Last Seen</t>
  </si>
  <si>
    <t>Response Time</t>
  </si>
  <si>
    <t>Monitoring History</t>
  </si>
  <si>
    <t>Uptime / Downtime</t>
  </si>
  <si>
    <t>Dashboard</t>
  </si>
  <si>
    <t>Location</t>
  </si>
  <si>
    <t>Notification</t>
  </si>
  <si>
    <t>User Management</t>
  </si>
  <si>
    <t>AI Automation</t>
  </si>
  <si>
    <t>TC-ASSET-001</t>
  </si>
  <si>
    <t>Assets</t>
  </si>
  <si>
    <t>Bearer token, aset terdaftar</t>
  </si>
  <si>
    <t>TC-ASSET-002</t>
  </si>
  <si>
    <t>Bearer token</t>
  </si>
  <si>
    <t>TC-ASSET-003</t>
  </si>
  <si>
    <t>200, category Access Point, monitoring_method Ping/SNMP</t>
  </si>
  <si>
    <t>TC-ASSET-004</t>
  </si>
  <si>
    <t>TC-ASSET-005</t>
  </si>
  <si>
    <t>Verifikasi aset Firewall pfSense</t>
  </si>
  <si>
    <t>TC-ASSET-006</t>
  </si>
  <si>
    <t>TC-ASSET-007</t>
  </si>
  <si>
    <t>Verifikasi aset IoT Node ESP32</t>
  </si>
  <si>
    <t>TC-ASSET-008</t>
  </si>
  <si>
    <t>Verifikasi aset CCTV Head Office</t>
  </si>
  <si>
    <t>200, category CCTV, monitoring_method Ping + HTTP</t>
  </si>
  <si>
    <t>TC-ASSET-009</t>
  </si>
  <si>
    <t>Verifikasi aset PC Head Office 01</t>
  </si>
  <si>
    <t>200, category PC, monitoring_method Ping</t>
  </si>
  <si>
    <t>TC-ASSET-010</t>
  </si>
  <si>
    <t>Filter by category Router</t>
  </si>
  <si>
    <t>200, hanya Router yang tampil</t>
  </si>
  <si>
    <t>TC-ASSET-011</t>
  </si>
  <si>
    <t>Filter by category IoT Node</t>
  </si>
  <si>
    <t>200, hanya IoT Node (ESP32, RPi) tampil</t>
  </si>
  <si>
    <t>TC-ASSET-012</t>
  </si>
  <si>
    <t>Filter by location Head Office</t>
  </si>
  <si>
    <t>200, hanya aset di Head Office</t>
  </si>
  <si>
    <t>TC-ASSET-013</t>
  </si>
  <si>
    <t>Verifikasi IP MikroTik 192.168.10.1</t>
  </si>
  <si>
    <t>200, ip_address = 192.168.10.1</t>
  </si>
  <si>
    <t>TC-ASSET-014</t>
  </si>
  <si>
    <t>200, mqtt_topic = taims/heartbeat/IOT-ESP-01</t>
  </si>
  <si>
    <t>TC-ASSET-015</t>
  </si>
  <si>
    <t>Verifikasi priority aset kritis = 1</t>
  </si>
  <si>
    <t>200, semua aset priority 1 tampil</t>
  </si>
  <si>
    <t>TC-INC-001</t>
  </si>
  <si>
    <t>Incidents</t>
  </si>
  <si>
    <t>Failure</t>
  </si>
  <si>
    <t>Kabel uplink siap dicabut</t>
  </si>
  <si>
    <t>TC-INC-002</t>
  </si>
  <si>
    <t>Kabel siap dicolok kembali</t>
  </si>
  <si>
    <t>TC-INC-003</t>
  </si>
  <si>
    <t>Kabel WAN siap dicabut</t>
  </si>
  <si>
    <t>Status offline, incident type "Connection Loss", severity high</t>
  </si>
  <si>
    <t>TC-INC-004</t>
  </si>
  <si>
    <t>RPi terpasang adaptor</t>
  </si>
  <si>
    <t>TC-INC-005</t>
  </si>
  <si>
    <t>ESP32 terpasang USB</t>
  </si>
  <si>
    <t>Status offline, LWT MQTT trigger offline</t>
  </si>
  <si>
    <t>TC-INC-006</t>
  </si>
  <si>
    <t>Server bisa di-restart</t>
  </si>
  <si>
    <t>TC-INC-007</t>
  </si>
  <si>
    <t>ESP32 siap dinyalakan</t>
  </si>
  <si>
    <t>TC-INC-008</t>
  </si>
  <si>
    <t>Ada incident dari simulasi</t>
  </si>
  <si>
    <t>TC-INC-009</t>
  </si>
  <si>
    <t>Update incident status resolved</t>
  </si>
  <si>
    <t>Ada incident open</t>
  </si>
  <si>
    <t>200, incident_status = resolved</t>
  </si>
  <si>
    <t>TC-INC-010</t>
  </si>
  <si>
    <t>MQTT &amp; Telegram aktif</t>
  </si>
  <si>
    <t>TC-INC-011</t>
  </si>
  <si>
    <t>Notifikasi recovery terkirim</t>
  </si>
  <si>
    <t>1. Sambung kabel 2. Cek Telegram</t>
  </si>
  <si>
    <t>Recovery alert terkirim setelah status online</t>
  </si>
  <si>
    <t>TC-INC-012</t>
  </si>
  <si>
    <t>Cooldown 5 menit</t>
  </si>
  <si>
    <t>Hanya 1 alert offline + 1 alert recovery</t>
  </si>
  <si>
    <t>1. GET /assets 
2. Cari asset_code NET-RTR-01 
3. Cek field lengkap</t>
  </si>
  <si>
    <t>1. GET /assets 
2. Cari asset_code NET-SWD-01 
3. Cek detail</t>
  </si>
  <si>
    <t>1. GET /assets 
2. Cari asset_code NET-AP-01 
3. Cek detail</t>
  </si>
  <si>
    <t>1. GET /assets 
2. Cari asset_code SRV-TAIMS-01 
3. Cek detail</t>
  </si>
  <si>
    <t>1. GET /assets 
2. Cari asset_code NET-FW-01 
3. Cek detail</t>
  </si>
  <si>
    <t>1. GET /assets 
2. Cari asset_code STO-NAS-01 
3. Cek detail</t>
  </si>
  <si>
    <t>1. GET /assets 
2. Cari asset_code IOT-ESP-01 
3. Cek detail</t>
  </si>
  <si>
    <t>1. GET /assets 
2. Cari asset_code SEC-CCTV-01 
3. Cek detail</t>
  </si>
  <si>
    <t>1. GET /assets
 2. Cari asset_code PC-HO-01 
3. Cek detail</t>
  </si>
  <si>
    <t>1. GET /assets?category=Router 
2. Cek hasil</t>
  </si>
  <si>
    <t>1. GET /assets?category=IoT Node 
2. Cek hasil</t>
  </si>
  <si>
    <t>1. GET /assets?location_id=2 
2. Cek hasil</t>
  </si>
  <si>
    <t>1. GET /assets/NET-RTR-01 
2. Cek field ip_address</t>
  </si>
  <si>
    <t>1. GET /assets/IOT-ESP-01 
2. Cek monitoring_config.mqtt_topic</t>
  </si>
  <si>
    <t>1. GET /assets?priority=1 
2. Cek hasil</t>
  </si>
  <si>
    <t>1. Sambung kabel LAN 
2. Tunggu heartbeat 
3. Cek status</t>
  </si>
  <si>
    <t>1. Catat status awal switch 
2. Cabut kabel LAN uplink
3. Tunggu threshold 
4. Cek status di API</t>
  </si>
  <si>
    <t>1. Catat status 
2. Cabut kabel WAN 
3. Cek monitoring</t>
  </si>
  <si>
    <t>1. Cabut adaptor power RPi 
2. Tunggu 90 detik
 3. Cek API status</t>
  </si>
  <si>
    <t>1. Cabut USB power ESP32 
2. Tunggu 90 detik 
3. Cek API</t>
  </si>
  <si>
    <t>1. Matikan server 
2. Cek dari laptop lain 
3. Cek HTTP health check</t>
  </si>
  <si>
    <t>1. Nyalakan ESP32 
2. Tunggu heartbeat kirim 
3. Cek status</t>
  </si>
  <si>
    <t>1. GET /incidents?status=open 
2. Cek field</t>
  </si>
  <si>
    <t>1. PUT /incidents/:id 
2. Body status=resolved
 3. Cek response</t>
  </si>
  <si>
    <t>1. Cabut-nyambung kabel 3x dalam 2 menit 
2. Cek Telegram</t>
  </si>
  <si>
    <t>200, data: asset_code, asset_name,
 category Router, ip_address,
 monitoring_method Ping</t>
  </si>
  <si>
    <t>200, category Switch Manageable,
 monitoring_method Ping/SNMP</t>
  </si>
  <si>
    <t>200, category Storage,
monitoring_method Ping</t>
  </si>
  <si>
    <t>200, category Server,
monitoring_method HTTP</t>
  </si>
  <si>
    <t>200, category Firewall,
monitoring_method Ping</t>
  </si>
  <si>
    <t>200, category IoT Node, monitoring_method Heartbeat, 
monitoring_config mqtt_topic</t>
  </si>
  <si>
    <t>Status berubah offline, 
incident tercatat, notifikasi terkirim</t>
  </si>
  <si>
    <t>Status kembali online, 
incident resolved, recovery alert terkirim</t>
  </si>
  <si>
    <t>Status offline, last_seen stop, 
heartbeat berhenti</t>
  </si>
  <si>
    <t>HTTP check gagal, status offline, 
incident critical</t>
  </si>
  <si>
    <t>200, incident dengan detected_at, 
severity, incident_status</t>
  </si>
  <si>
    <t>Status online, recovery alert terkirim, 
last_seen update</t>
  </si>
  <si>
    <t>Alert diterima dalam 90 detik,
 isi device_code + waktu</t>
  </si>
  <si>
    <t>TC-AUTH-001</t>
  </si>
  <si>
    <t>Auth</t>
  </si>
  <si>
    <t>Login sukses dengan kredensial valid</t>
  </si>
  <si>
    <t>Contract API v0.5</t>
  </si>
  <si>
    <t>200 OK, token + user data</t>
  </si>
  <si>
    <t>TC-AUTH-002</t>
  </si>
  <si>
    <t>Login gagal - password salah</t>
  </si>
  <si>
    <t>401, error password salah</t>
  </si>
  <si>
    <t>TC-AUTH-003</t>
  </si>
  <si>
    <t>Login tanpa email/password</t>
  </si>
  <si>
    <t>400, error wajib diisi</t>
  </si>
  <si>
    <t>TC-AUTH-004</t>
  </si>
  <si>
    <t>GET /auth/me dengan token valid</t>
  </si>
  <si>
    <t>Login dulu</t>
  </si>
  <si>
    <t>200, data user login</t>
  </si>
  <si>
    <t>TC-AUTH-005</t>
  </si>
  <si>
    <t>GET /auth/me tanpa token</t>
  </si>
  <si>
    <t>-</t>
  </si>
  <si>
    <t>401 Unauthorized</t>
  </si>
  <si>
    <t>TC-AUTH-006</t>
  </si>
  <si>
    <t>Change password berhasil</t>
  </si>
  <si>
    <t>200, password berubah</t>
  </si>
  <si>
    <t>TC-USER-001</t>
  </si>
  <si>
    <t>Users</t>
  </si>
  <si>
    <t>GET /users sebagai admin</t>
  </si>
  <si>
    <t>Bearer admin</t>
  </si>
  <si>
    <t>200, list user</t>
  </si>
  <si>
    <t>TC-USER-002</t>
  </si>
  <si>
    <t>GET /users sebagai user (403)</t>
  </si>
  <si>
    <t>Bearer user</t>
  </si>
  <si>
    <t>403 Forbidden</t>
  </si>
  <si>
    <t>TC-USER-003</t>
  </si>
  <si>
    <t>POST create user</t>
  </si>
  <si>
    <t>201, user_id baru</t>
  </si>
  <si>
    <t>TC-USER-004</t>
  </si>
  <si>
    <t>POST email duplikat (409)</t>
  </si>
  <si>
    <t>409 Conflict</t>
  </si>
  <si>
    <t>TC-USER-005</t>
  </si>
  <si>
    <t>DELETE user sebagai admin (403)</t>
  </si>
  <si>
    <t>TC-LOC-001</t>
  </si>
  <si>
    <t>Locations</t>
  </si>
  <si>
    <t>GET list lokasi</t>
  </si>
  <si>
    <t>200, 2 lokasi (HO, Marketing)</t>
  </si>
  <si>
    <t>TC-LOC-002</t>
  </si>
  <si>
    <t>POST create lokasi</t>
  </si>
  <si>
    <t>201 Created</t>
  </si>
  <si>
    <t>TC-LOC-003</t>
  </si>
  <si>
    <t>DELETE lokasi dipakai (409)</t>
  </si>
  <si>
    <t>Bearer super_admin</t>
  </si>
  <si>
    <t>TC-MON-001</t>
  </si>
  <si>
    <t>POST /monitoring/ping</t>
  </si>
  <si>
    <t>Ananda engine</t>
  </si>
  <si>
    <t>201, log_id</t>
  </si>
  <si>
    <t>TC-MON-002</t>
  </si>
  <si>
    <t>POST /monitoring/http</t>
  </si>
  <si>
    <t>TC-MON-003</t>
  </si>
  <si>
    <t>POST /monitoring/tcp</t>
  </si>
  <si>
    <t>TC-MON-004</t>
  </si>
  <si>
    <t>GET monitoring logs</t>
  </si>
  <si>
    <t>200, list log</t>
  </si>
  <si>
    <t>TC-MON-005</t>
  </si>
  <si>
    <t>GET monitoring summary</t>
  </si>
  <si>
    <t>200, ringkasan status</t>
  </si>
  <si>
    <t>TC-HB-001</t>
  </si>
  <si>
    <t>Heartbeat</t>
  </si>
  <si>
    <t>POST heartbeat valid</t>
  </si>
  <si>
    <t>Device terdaftar</t>
  </si>
  <si>
    <t>200, next_heartbeat_in</t>
  </si>
  <si>
    <t>TC-HB-002</t>
  </si>
  <si>
    <t>POST device_id tidak terdaftar</t>
  </si>
  <si>
    <t>404, error device_id tidak terdaftar</t>
  </si>
  <si>
    <t>TC-HB-003</t>
  </si>
  <si>
    <t>GET heartbeat terakhir</t>
  </si>
  <si>
    <t>200, data heartbeat</t>
  </si>
  <si>
    <t>TC-MNT-001</t>
  </si>
  <si>
    <t>Maintenance</t>
  </si>
  <si>
    <t>GET list maintenance</t>
  </si>
  <si>
    <t>200, list maintenance</t>
  </si>
  <si>
    <t>TC-MNT-002</t>
  </si>
  <si>
    <t>POST create maintenance</t>
  </si>
  <si>
    <t>201, maintenance_id</t>
  </si>
  <si>
    <t>TC-NOTIF-001</t>
  </si>
  <si>
    <t>Notifications</t>
  </si>
  <si>
    <t>GET list notifikasi</t>
  </si>
  <si>
    <t>200, list notifikasi</t>
  </si>
  <si>
    <t>TC-NOTIF-002</t>
  </si>
  <si>
    <t>PUT mark as read</t>
  </si>
  <si>
    <t>200, is_read=true</t>
  </si>
  <si>
    <t>TC-NOTIF-003</t>
  </si>
  <si>
    <t>POST create notifikasi</t>
  </si>
  <si>
    <t>201, notification_id</t>
  </si>
  <si>
    <t>TC-DASH-001</t>
  </si>
  <si>
    <t>GET dashboard stats</t>
  </si>
  <si>
    <t>200, total/online/offline</t>
  </si>
  <si>
    <t>TC-DASH-002</t>
  </si>
  <si>
    <t>GET dashboard uptime</t>
  </si>
  <si>
    <t>200, uptime per device</t>
  </si>
  <si>
    <t>TC-DASH-003</t>
  </si>
  <si>
    <t>GET dashboard top-issues</t>
  </si>
  <si>
    <t>200, device bermasalah</t>
  </si>
  <si>
    <t>TC-DASH-004</t>
  </si>
  <si>
    <t>GET dashboard charts</t>
  </si>
  <si>
    <t>200, data grafik</t>
  </si>
  <si>
    <t>TC-DASH-005</t>
  </si>
  <si>
    <t>GET dashboard AI report</t>
  </si>
  <si>
    <t>200, summary + recommendation</t>
  </si>
  <si>
    <t>Verifikasi aset Router 
MikroTik RB4011 terdaftar</t>
  </si>
  <si>
    <t>Verifikasi aset Switch 
Cisco 2960 terdaftar</t>
  </si>
  <si>
    <t>Verifikasi aset Access 
Point UniFi U6-Lite</t>
  </si>
  <si>
    <t>Verifikasi aset Server 
T-AIMS Ubuntu</t>
  </si>
  <si>
    <t>Verifikasi aset Storage 
Synology DS220+</t>
  </si>
  <si>
    <t>Verifikasi monitoring_config 
ESP32 mqtt_topic</t>
  </si>
  <si>
    <t>Simulasi KABEL PUTUS - 
Switch Cisco</t>
  </si>
  <si>
    <t>Simulasi KABEL PUTUS - 
Recovery</t>
  </si>
  <si>
    <t>Simulasi KABEL PUTUS - 
Router MikroTik</t>
  </si>
  <si>
    <t>Simulasi POWER CUT - 
Raspberry Pi</t>
  </si>
  <si>
    <t>Simulasi POWER CUT - 
ESP32</t>
  </si>
  <si>
    <t>Simulasi POWER CUT - 
Server T-AIMS</t>
  </si>
  <si>
    <t>Simulasi POWER CUT - 
Recovery ESP32</t>
  </si>
  <si>
    <t>Verifikasi incident tercatat 
di database</t>
  </si>
  <si>
    <t>Notifikasi offline terkirim 
saat kabel putus</t>
  </si>
  <si>
    <t>Tidak ada duplikasi alert 
saat flapping</t>
  </si>
  <si>
    <t>1. Cabut kabel 
2. Cek Telegram/Email</t>
  </si>
  <si>
    <t>1. POST /auth/login 
2. Body valid 
3. Amati response</t>
  </si>
  <si>
    <t>1. POST /auth/login 
2. Password salah 
3. Amati</t>
  </si>
  <si>
    <t>1. POST /auth/login 
2. Body kosong 
3. Amati</t>
  </si>
  <si>
    <t>1. GET /auth/me 
2. Bearer token 
3. Amati</t>
  </si>
  <si>
    <t>1. GET /auth/me 
2. Tanpa auth 
3. Amati</t>
  </si>
  <si>
    <t>1. POST /auth/change-password 
2. Body old+new 
3. Amati</t>
  </si>
  <si>
    <t>1. GET /users 
2. Amati response</t>
  </si>
  <si>
    <t>1. POST /users 
2. Body valid 
3. Amati</t>
  </si>
  <si>
    <t>1. POST /users 
2. Email sudah ada 
3. Amati</t>
  </si>
  <si>
    <t>1. DELETE /users/:id 
2. Amati</t>
  </si>
  <si>
    <t>1. GET /locations 
2. Amati</t>
  </si>
  <si>
    <t>1. POST /locations 
2. Body valid 
3. Amati</t>
  </si>
  <si>
    <t>1. DELETE /locations/:id (ada aset) 
2. Amati</t>
  </si>
  <si>
    <t>1. POST /monitoring/ping 
2. Body valid 
3. Amati</t>
  </si>
  <si>
    <t>1. POST /monitoring/http 
2. Body valid 
3. Amati</t>
  </si>
  <si>
    <t>1. POST /monitoring/tcp 
2. Body valid 
3. Amati</t>
  </si>
  <si>
    <t>1. GET /monitoring/logs 
2. Amati</t>
  </si>
  <si>
    <t>1. GET /monitoring/summary 
2. Amati</t>
  </si>
  <si>
    <t>1. POST /heartbeat 
2. Body valid 
3. Amati</t>
  </si>
  <si>
    <t>1. POST /heartbeat 
2. device_id salah 
3. Amati</t>
  </si>
  <si>
    <t>1. GET /heartbeat/:assetCode/latest 
2. Amati</t>
  </si>
  <si>
    <t>1. GET /maintenance 
2. Amati</t>
  </si>
  <si>
    <t>1. POST /maintenance 
2. Body valid 
3. Amati</t>
  </si>
  <si>
    <t>1. GET /notifications 
2. Amati</t>
  </si>
  <si>
    <t>1. PUT /notifications/:id/read 
2. Amati</t>
  </si>
  <si>
    <t>1. POST /notifications 
2. Body valid 
3. Amati</t>
  </si>
  <si>
    <t>1. GET /dashboard/stats 
2. Amati</t>
  </si>
  <si>
    <t>1. GET /dashboard/uptime 
2. Amati</t>
  </si>
  <si>
    <t>1. GET /dashboard/top-issues 
2. Amati</t>
  </si>
  <si>
    <t>1. GET /dashboard/charts 
2. Amati</t>
  </si>
  <si>
    <t>1. GET /dashboard/ai-report 
2. Amati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</si>
</sst>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Border="1"/>
    <xf numFmtId="0" fontId="0" fillId="0" borderId="0" xfId="0" applyAlignment="1">
      <alignment vertical="top"/>
    </xf>
    <xf numFmtId="0" fontId="0" fillId="0" borderId="0" xfId="0" applyBorder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/>
    <xf numFmtId="0" fontId="0" fillId="0" borderId="0" xfId="0" applyAlignment="1">
      <alignment horizontal="center" vertical="top"/>
    </xf>
    <xf numFmtId="0" fontId="0" fillId="0" borderId="0" xfId="0" applyFill="1" applyBorder="1"/>
    <xf numFmtId="0" fontId="2" fillId="2" borderId="0" xfId="0" applyFont="1" applyFill="1"/>
    <xf numFmtId="0" fontId="2" fillId="2" borderId="0" xfId="0" applyFont="1" applyFill="1" applyBorder="1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 wrapText="1"/>
    </xf>
    <xf numFmtId="9" fontId="0" fillId="0" borderId="0" xfId="1" applyFont="1" applyAlignment="1">
      <alignment horizontal="center" vertical="top"/>
    </xf>
    <xf numFmtId="0" fontId="0" fillId="0" borderId="0" xfId="0" applyBorder="1" applyAlignment="1">
      <alignment horizontal="left"/>
    </xf>
    <xf numFmtId="0" fontId="0" fillId="0" borderId="0" xfId="0" applyFill="1" applyBorder="1" applyAlignment="1">
      <alignment horizontal="left"/>
    </xf>
    <xf numFmtId="0" fontId="0" fillId="0" borderId="0" xfId="0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110E8-1ACA-4357-B4C2-32B0031F67AE}">
  <dimension ref="A1:R71"/>
  <sheetViews>
    <sheetView tabSelected="1" topLeftCell="A46" zoomScale="46" zoomScaleNormal="46" workbookViewId="0">
      <selection activeCell="G9" sqref="G9"/>
    </sheetView>
  </sheetViews>
  <sheetFormatPr defaultRowHeight="14.5" x14ac:dyDescent="0.35"/>
  <cols>
    <col min="1" max="1" width="19" customWidth="1"/>
    <col min="2" max="2" width="10.36328125" customWidth="1"/>
    <col min="3" max="3" width="13.90625" customWidth="1"/>
    <col min="4" max="4" width="38.453125" customWidth="1"/>
    <col min="5" max="6" width="10.36328125" customWidth="1"/>
    <col min="7" max="7" width="25.26953125" customWidth="1"/>
    <col min="8" max="8" width="57.7265625" customWidth="1"/>
    <col min="9" max="9" width="97.36328125" customWidth="1"/>
    <col min="10" max="10" width="20.7265625" customWidth="1"/>
    <col min="11" max="11" width="10.36328125" customWidth="1"/>
    <col min="12" max="12" width="12.26953125" customWidth="1"/>
    <col min="13" max="14" width="10.36328125" customWidth="1"/>
    <col min="15" max="15" width="12.1796875" customWidth="1"/>
    <col min="16" max="16" width="16.90625" customWidth="1"/>
    <col min="17" max="17" width="18.1796875" customWidth="1"/>
    <col min="18" max="18" width="28.26953125" customWidth="1"/>
  </cols>
  <sheetData>
    <row r="1" spans="1:18" s="5" customFormat="1" x14ac:dyDescent="0.3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9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</row>
    <row r="2" spans="1:18" ht="46.5" customHeight="1" x14ac:dyDescent="0.35">
      <c r="A2" s="2" t="s">
        <v>18</v>
      </c>
      <c r="B2" s="6"/>
      <c r="C2" s="2" t="s">
        <v>37</v>
      </c>
      <c r="D2" s="2" t="s">
        <v>19</v>
      </c>
      <c r="E2" s="2" t="s">
        <v>20</v>
      </c>
      <c r="F2" s="2" t="s">
        <v>21</v>
      </c>
      <c r="G2" s="2" t="s">
        <v>22</v>
      </c>
      <c r="H2" s="3" t="s">
        <v>23</v>
      </c>
      <c r="I2" s="2" t="s">
        <v>24</v>
      </c>
      <c r="J2" s="2"/>
      <c r="K2" s="2"/>
      <c r="L2" s="2"/>
      <c r="M2" s="2"/>
      <c r="N2" s="2"/>
      <c r="O2" s="12" t="s">
        <v>25</v>
      </c>
      <c r="P2" s="12"/>
      <c r="Q2" s="2"/>
      <c r="R2" s="4" t="s">
        <v>26</v>
      </c>
    </row>
    <row r="3" spans="1:18" x14ac:dyDescent="0.35">
      <c r="A3" t="s">
        <v>27</v>
      </c>
      <c r="B3" s="18">
        <v>8</v>
      </c>
      <c r="C3" s="11" t="s">
        <v>37</v>
      </c>
      <c r="D3" s="11" t="s">
        <v>38</v>
      </c>
      <c r="E3" s="11" t="s">
        <v>20</v>
      </c>
      <c r="F3" s="11" t="s">
        <v>21</v>
      </c>
      <c r="H3" s="1"/>
      <c r="I3" s="7" t="s">
        <v>51</v>
      </c>
      <c r="O3" s="11" t="s">
        <v>25</v>
      </c>
      <c r="P3" s="11"/>
    </row>
    <row r="4" spans="1:18" x14ac:dyDescent="0.35">
      <c r="A4" t="s">
        <v>28</v>
      </c>
      <c r="B4" s="18">
        <v>8</v>
      </c>
      <c r="C4" s="11" t="s">
        <v>37</v>
      </c>
      <c r="D4" s="11" t="s">
        <v>39</v>
      </c>
      <c r="E4" s="11" t="s">
        <v>20</v>
      </c>
      <c r="F4" s="11" t="s">
        <v>21</v>
      </c>
      <c r="I4" t="s">
        <v>52</v>
      </c>
      <c r="O4" s="11" t="s">
        <v>25</v>
      </c>
      <c r="P4" s="11"/>
    </row>
    <row r="5" spans="1:18" x14ac:dyDescent="0.35">
      <c r="A5" t="s">
        <v>29</v>
      </c>
      <c r="B5" s="18">
        <v>8</v>
      </c>
      <c r="C5" s="11" t="s">
        <v>37</v>
      </c>
      <c r="D5" s="11" t="s">
        <v>40</v>
      </c>
      <c r="E5" s="11" t="s">
        <v>48</v>
      </c>
      <c r="F5" s="11" t="s">
        <v>21</v>
      </c>
      <c r="I5" t="s">
        <v>53</v>
      </c>
      <c r="O5" s="11" t="s">
        <v>25</v>
      </c>
      <c r="P5" s="11"/>
    </row>
    <row r="6" spans="1:18" x14ac:dyDescent="0.35">
      <c r="A6" t="s">
        <v>30</v>
      </c>
      <c r="B6" s="18">
        <v>8</v>
      </c>
      <c r="C6" s="11" t="s">
        <v>37</v>
      </c>
      <c r="D6" s="11" t="s">
        <v>41</v>
      </c>
      <c r="E6" s="11" t="s">
        <v>48</v>
      </c>
      <c r="F6" s="11" t="s">
        <v>21</v>
      </c>
      <c r="I6" t="s">
        <v>54</v>
      </c>
      <c r="O6" s="11" t="s">
        <v>25</v>
      </c>
      <c r="P6" s="11"/>
    </row>
    <row r="7" spans="1:18" x14ac:dyDescent="0.35">
      <c r="A7" t="s">
        <v>31</v>
      </c>
      <c r="B7" s="18">
        <v>9</v>
      </c>
      <c r="C7" s="11" t="s">
        <v>37</v>
      </c>
      <c r="D7" s="11" t="s">
        <v>42</v>
      </c>
      <c r="E7" s="11" t="s">
        <v>20</v>
      </c>
      <c r="F7" s="11" t="s">
        <v>21</v>
      </c>
      <c r="I7" t="s">
        <v>55</v>
      </c>
      <c r="O7" s="11" t="s">
        <v>25</v>
      </c>
      <c r="P7" s="11"/>
    </row>
    <row r="8" spans="1:18" x14ac:dyDescent="0.35">
      <c r="A8" t="s">
        <v>32</v>
      </c>
      <c r="B8" s="18">
        <v>9</v>
      </c>
      <c r="C8" s="11" t="s">
        <v>37</v>
      </c>
      <c r="D8" s="11" t="s">
        <v>43</v>
      </c>
      <c r="E8" s="11" t="s">
        <v>20</v>
      </c>
      <c r="F8" s="11" t="s">
        <v>21</v>
      </c>
      <c r="I8" t="s">
        <v>56</v>
      </c>
      <c r="O8" s="11" t="s">
        <v>25</v>
      </c>
      <c r="P8" s="11"/>
    </row>
    <row r="9" spans="1:18" x14ac:dyDescent="0.35">
      <c r="A9" t="s">
        <v>33</v>
      </c>
      <c r="B9" s="18">
        <v>9</v>
      </c>
      <c r="C9" s="11" t="s">
        <v>37</v>
      </c>
      <c r="D9" s="11" t="s">
        <v>44</v>
      </c>
      <c r="E9" s="11" t="s">
        <v>49</v>
      </c>
      <c r="F9" s="11" t="s">
        <v>50</v>
      </c>
      <c r="I9" t="s">
        <v>53</v>
      </c>
      <c r="O9" s="11" t="s">
        <v>25</v>
      </c>
      <c r="P9" s="11"/>
    </row>
    <row r="10" spans="1:18" x14ac:dyDescent="0.35">
      <c r="A10" t="s">
        <v>34</v>
      </c>
      <c r="B10" s="18">
        <v>9</v>
      </c>
      <c r="C10" s="11" t="s">
        <v>37</v>
      </c>
      <c r="D10" s="11" t="s">
        <v>45</v>
      </c>
      <c r="E10" s="11" t="s">
        <v>48</v>
      </c>
      <c r="F10" s="11" t="s">
        <v>21</v>
      </c>
      <c r="I10" t="s">
        <v>57</v>
      </c>
      <c r="O10" s="11" t="s">
        <v>25</v>
      </c>
      <c r="P10" s="11"/>
    </row>
    <row r="11" spans="1:18" x14ac:dyDescent="0.35">
      <c r="A11" t="s">
        <v>35</v>
      </c>
      <c r="B11" s="18">
        <v>9</v>
      </c>
      <c r="C11" s="11" t="s">
        <v>37</v>
      </c>
      <c r="D11" s="11" t="s">
        <v>46</v>
      </c>
      <c r="E11" s="16" t="s">
        <v>48</v>
      </c>
      <c r="F11" s="17" t="s">
        <v>21</v>
      </c>
      <c r="I11" t="s">
        <v>58</v>
      </c>
      <c r="O11" s="11" t="s">
        <v>25</v>
      </c>
      <c r="P11" s="11"/>
    </row>
    <row r="12" spans="1:18" x14ac:dyDescent="0.35">
      <c r="A12" t="s">
        <v>36</v>
      </c>
      <c r="B12" s="18">
        <v>10</v>
      </c>
      <c r="C12" s="11" t="s">
        <v>37</v>
      </c>
      <c r="D12" s="11" t="s">
        <v>47</v>
      </c>
      <c r="E12" s="17" t="s">
        <v>49</v>
      </c>
      <c r="F12" s="17" t="s">
        <v>50</v>
      </c>
      <c r="I12" t="s">
        <v>59</v>
      </c>
      <c r="O12" s="11" t="s">
        <v>25</v>
      </c>
      <c r="P12" s="11"/>
    </row>
    <row r="13" spans="1:18" ht="43.5" x14ac:dyDescent="0.35">
      <c r="A13" s="12" t="s">
        <v>197</v>
      </c>
      <c r="B13" s="18">
        <v>13</v>
      </c>
      <c r="C13" s="12" t="s">
        <v>198</v>
      </c>
      <c r="D13" s="14" t="s">
        <v>410</v>
      </c>
      <c r="E13" s="12" t="s">
        <v>20</v>
      </c>
      <c r="F13" s="12" t="s">
        <v>21</v>
      </c>
      <c r="G13" s="12" t="s">
        <v>199</v>
      </c>
      <c r="H13" s="10" t="s">
        <v>266</v>
      </c>
      <c r="I13" s="10" t="s">
        <v>291</v>
      </c>
      <c r="K13" s="12" t="s">
        <v>99</v>
      </c>
      <c r="O13" s="12" t="s">
        <v>25</v>
      </c>
      <c r="P13" s="13">
        <v>46366</v>
      </c>
    </row>
    <row r="14" spans="1:18" ht="43.5" x14ac:dyDescent="0.35">
      <c r="A14" s="12" t="s">
        <v>200</v>
      </c>
      <c r="B14" s="18">
        <v>13</v>
      </c>
      <c r="C14" s="12" t="s">
        <v>198</v>
      </c>
      <c r="D14" s="14" t="s">
        <v>411</v>
      </c>
      <c r="E14" s="12" t="s">
        <v>20</v>
      </c>
      <c r="F14" s="12" t="s">
        <v>21</v>
      </c>
      <c r="G14" s="12" t="s">
        <v>201</v>
      </c>
      <c r="H14" s="10" t="s">
        <v>267</v>
      </c>
      <c r="I14" s="10" t="s">
        <v>292</v>
      </c>
      <c r="K14" s="12" t="s">
        <v>99</v>
      </c>
      <c r="O14" s="12" t="s">
        <v>25</v>
      </c>
      <c r="P14" s="13">
        <v>46366</v>
      </c>
    </row>
    <row r="15" spans="1:18" ht="43.5" x14ac:dyDescent="0.35">
      <c r="A15" s="12" t="s">
        <v>202</v>
      </c>
      <c r="B15" s="18">
        <v>13</v>
      </c>
      <c r="C15" s="12" t="s">
        <v>198</v>
      </c>
      <c r="D15" s="14" t="s">
        <v>412</v>
      </c>
      <c r="E15" s="12" t="s">
        <v>20</v>
      </c>
      <c r="F15" s="12" t="s">
        <v>21</v>
      </c>
      <c r="G15" s="12" t="s">
        <v>201</v>
      </c>
      <c r="H15" s="10" t="s">
        <v>268</v>
      </c>
      <c r="I15" t="s">
        <v>203</v>
      </c>
      <c r="K15" s="12" t="s">
        <v>99</v>
      </c>
      <c r="O15" s="12" t="s">
        <v>25</v>
      </c>
      <c r="P15" s="13">
        <v>46366</v>
      </c>
    </row>
    <row r="16" spans="1:18" ht="43.5" x14ac:dyDescent="0.35">
      <c r="A16" s="12" t="s">
        <v>204</v>
      </c>
      <c r="B16" s="18">
        <v>13</v>
      </c>
      <c r="C16" s="12" t="s">
        <v>198</v>
      </c>
      <c r="D16" s="14" t="s">
        <v>413</v>
      </c>
      <c r="E16" s="12" t="s">
        <v>20</v>
      </c>
      <c r="F16" s="12" t="s">
        <v>21</v>
      </c>
      <c r="G16" s="12" t="s">
        <v>201</v>
      </c>
      <c r="H16" s="10" t="s">
        <v>269</v>
      </c>
      <c r="I16" s="10" t="s">
        <v>294</v>
      </c>
      <c r="K16" s="12" t="s">
        <v>99</v>
      </c>
      <c r="O16" s="12" t="s">
        <v>25</v>
      </c>
      <c r="P16" s="13">
        <v>46366</v>
      </c>
    </row>
    <row r="17" spans="1:16" ht="43.5" x14ac:dyDescent="0.35">
      <c r="A17" s="12" t="s">
        <v>205</v>
      </c>
      <c r="B17" s="18">
        <v>13</v>
      </c>
      <c r="C17" s="12" t="s">
        <v>198</v>
      </c>
      <c r="D17" s="12" t="s">
        <v>206</v>
      </c>
      <c r="E17" s="12" t="s">
        <v>20</v>
      </c>
      <c r="F17" s="12" t="s">
        <v>21</v>
      </c>
      <c r="G17" s="12" t="s">
        <v>201</v>
      </c>
      <c r="H17" s="10" t="s">
        <v>270</v>
      </c>
      <c r="I17" s="10" t="s">
        <v>295</v>
      </c>
      <c r="K17" s="12" t="s">
        <v>99</v>
      </c>
      <c r="O17" s="12" t="s">
        <v>25</v>
      </c>
      <c r="P17" s="13">
        <v>46366</v>
      </c>
    </row>
    <row r="18" spans="1:16" ht="43.5" x14ac:dyDescent="0.35">
      <c r="A18" s="12" t="s">
        <v>207</v>
      </c>
      <c r="B18" s="18">
        <v>13</v>
      </c>
      <c r="C18" s="12" t="s">
        <v>198</v>
      </c>
      <c r="D18" s="14" t="s">
        <v>414</v>
      </c>
      <c r="E18" s="12" t="s">
        <v>20</v>
      </c>
      <c r="F18" s="12" t="s">
        <v>21</v>
      </c>
      <c r="G18" s="12" t="s">
        <v>201</v>
      </c>
      <c r="H18" s="10" t="s">
        <v>271</v>
      </c>
      <c r="I18" s="10" t="s">
        <v>293</v>
      </c>
      <c r="K18" s="12" t="s">
        <v>99</v>
      </c>
      <c r="O18" s="12" t="s">
        <v>25</v>
      </c>
      <c r="P18" s="13">
        <v>46366</v>
      </c>
    </row>
    <row r="19" spans="1:16" ht="43.5" x14ac:dyDescent="0.35">
      <c r="A19" s="12" t="s">
        <v>208</v>
      </c>
      <c r="B19" s="18">
        <v>13</v>
      </c>
      <c r="C19" s="12" t="s">
        <v>198</v>
      </c>
      <c r="D19" s="12" t="s">
        <v>209</v>
      </c>
      <c r="E19" s="12" t="s">
        <v>20</v>
      </c>
      <c r="F19" s="12" t="s">
        <v>21</v>
      </c>
      <c r="G19" s="12" t="s">
        <v>201</v>
      </c>
      <c r="H19" s="10" t="s">
        <v>272</v>
      </c>
      <c r="I19" s="10" t="s">
        <v>296</v>
      </c>
      <c r="K19" s="12" t="s">
        <v>99</v>
      </c>
      <c r="O19" s="12" t="s">
        <v>25</v>
      </c>
      <c r="P19" s="13">
        <v>46366</v>
      </c>
    </row>
    <row r="20" spans="1:16" ht="43.5" x14ac:dyDescent="0.35">
      <c r="A20" s="12" t="s">
        <v>210</v>
      </c>
      <c r="B20" s="18">
        <v>13</v>
      </c>
      <c r="C20" s="12" t="s">
        <v>198</v>
      </c>
      <c r="D20" s="12" t="s">
        <v>211</v>
      </c>
      <c r="E20" s="12" t="s">
        <v>20</v>
      </c>
      <c r="F20" s="12" t="s">
        <v>21</v>
      </c>
      <c r="G20" s="12" t="s">
        <v>201</v>
      </c>
      <c r="H20" s="10" t="s">
        <v>273</v>
      </c>
      <c r="I20" t="s">
        <v>212</v>
      </c>
      <c r="K20" s="12" t="s">
        <v>99</v>
      </c>
      <c r="O20" s="12" t="s">
        <v>25</v>
      </c>
      <c r="P20" s="13">
        <v>46366</v>
      </c>
    </row>
    <row r="21" spans="1:16" ht="43.5" x14ac:dyDescent="0.35">
      <c r="A21" s="12" t="s">
        <v>213</v>
      </c>
      <c r="B21" s="18">
        <v>13</v>
      </c>
      <c r="C21" s="12" t="s">
        <v>198</v>
      </c>
      <c r="D21" s="12" t="s">
        <v>214</v>
      </c>
      <c r="E21" s="12" t="s">
        <v>20</v>
      </c>
      <c r="F21" s="12" t="s">
        <v>21</v>
      </c>
      <c r="G21" s="12" t="s">
        <v>201</v>
      </c>
      <c r="H21" s="10" t="s">
        <v>274</v>
      </c>
      <c r="I21" t="s">
        <v>215</v>
      </c>
      <c r="K21" s="12" t="s">
        <v>99</v>
      </c>
      <c r="O21" s="12" t="s">
        <v>25</v>
      </c>
      <c r="P21" s="13">
        <v>46366</v>
      </c>
    </row>
    <row r="22" spans="1:16" ht="29" x14ac:dyDescent="0.35">
      <c r="A22" s="12" t="s">
        <v>216</v>
      </c>
      <c r="B22" s="18">
        <v>13</v>
      </c>
      <c r="C22" s="12" t="s">
        <v>198</v>
      </c>
      <c r="D22" s="12" t="s">
        <v>217</v>
      </c>
      <c r="E22" s="12" t="s">
        <v>20</v>
      </c>
      <c r="F22" s="12" t="s">
        <v>21</v>
      </c>
      <c r="G22" s="12" t="s">
        <v>201</v>
      </c>
      <c r="H22" s="10" t="s">
        <v>275</v>
      </c>
      <c r="I22" t="s">
        <v>218</v>
      </c>
      <c r="K22" s="12" t="s">
        <v>99</v>
      </c>
      <c r="O22" s="12" t="s">
        <v>25</v>
      </c>
      <c r="P22" s="13">
        <v>46366</v>
      </c>
    </row>
    <row r="23" spans="1:16" ht="29" x14ac:dyDescent="0.35">
      <c r="A23" s="12" t="s">
        <v>219</v>
      </c>
      <c r="B23" s="18">
        <v>13</v>
      </c>
      <c r="C23" s="12" t="s">
        <v>198</v>
      </c>
      <c r="D23" s="12" t="s">
        <v>220</v>
      </c>
      <c r="E23" s="12" t="s">
        <v>20</v>
      </c>
      <c r="F23" s="12" t="s">
        <v>21</v>
      </c>
      <c r="G23" s="12" t="s">
        <v>201</v>
      </c>
      <c r="H23" s="10" t="s">
        <v>276</v>
      </c>
      <c r="I23" t="s">
        <v>221</v>
      </c>
      <c r="K23" s="12" t="s">
        <v>99</v>
      </c>
      <c r="O23" s="12" t="s">
        <v>25</v>
      </c>
      <c r="P23" s="13">
        <v>46366</v>
      </c>
    </row>
    <row r="24" spans="1:16" ht="29" x14ac:dyDescent="0.35">
      <c r="A24" s="12" t="s">
        <v>222</v>
      </c>
      <c r="B24" s="18">
        <v>13</v>
      </c>
      <c r="C24" s="12" t="s">
        <v>198</v>
      </c>
      <c r="D24" s="12" t="s">
        <v>223</v>
      </c>
      <c r="E24" s="12" t="s">
        <v>20</v>
      </c>
      <c r="F24" s="12" t="s">
        <v>50</v>
      </c>
      <c r="G24" s="12" t="s">
        <v>201</v>
      </c>
      <c r="H24" s="10" t="s">
        <v>277</v>
      </c>
      <c r="I24" t="s">
        <v>224</v>
      </c>
      <c r="K24" s="12" t="s">
        <v>99</v>
      </c>
      <c r="O24" s="12" t="s">
        <v>25</v>
      </c>
      <c r="P24" s="13">
        <v>46366</v>
      </c>
    </row>
    <row r="25" spans="1:16" ht="29" x14ac:dyDescent="0.35">
      <c r="A25" s="12" t="s">
        <v>225</v>
      </c>
      <c r="B25" s="18">
        <v>13</v>
      </c>
      <c r="C25" s="12" t="s">
        <v>198</v>
      </c>
      <c r="D25" s="12" t="s">
        <v>226</v>
      </c>
      <c r="E25" s="12" t="s">
        <v>20</v>
      </c>
      <c r="F25" s="12" t="s">
        <v>21</v>
      </c>
      <c r="G25" s="12" t="s">
        <v>201</v>
      </c>
      <c r="H25" s="10" t="s">
        <v>278</v>
      </c>
      <c r="I25" t="s">
        <v>227</v>
      </c>
      <c r="K25" s="12" t="s">
        <v>99</v>
      </c>
      <c r="O25" s="12" t="s">
        <v>25</v>
      </c>
      <c r="P25" s="13">
        <v>46366</v>
      </c>
    </row>
    <row r="26" spans="1:16" ht="29" x14ac:dyDescent="0.35">
      <c r="A26" s="12" t="s">
        <v>228</v>
      </c>
      <c r="B26" s="18">
        <v>13</v>
      </c>
      <c r="C26" s="12" t="s">
        <v>198</v>
      </c>
      <c r="D26" s="14" t="s">
        <v>415</v>
      </c>
      <c r="E26" s="12" t="s">
        <v>20</v>
      </c>
      <c r="F26" s="12" t="s">
        <v>21</v>
      </c>
      <c r="G26" s="12" t="s">
        <v>201</v>
      </c>
      <c r="H26" s="10" t="s">
        <v>279</v>
      </c>
      <c r="I26" t="s">
        <v>229</v>
      </c>
      <c r="K26" s="12" t="s">
        <v>99</v>
      </c>
      <c r="O26" s="12" t="s">
        <v>25</v>
      </c>
      <c r="P26" s="13">
        <v>46366</v>
      </c>
    </row>
    <row r="27" spans="1:16" ht="29" x14ac:dyDescent="0.35">
      <c r="A27" s="12" t="s">
        <v>230</v>
      </c>
      <c r="B27" s="18">
        <v>13</v>
      </c>
      <c r="C27" s="12" t="s">
        <v>198</v>
      </c>
      <c r="D27" s="12" t="s">
        <v>231</v>
      </c>
      <c r="E27" s="12" t="s">
        <v>20</v>
      </c>
      <c r="F27" s="12" t="s">
        <v>50</v>
      </c>
      <c r="G27" s="12" t="s">
        <v>201</v>
      </c>
      <c r="H27" s="10" t="s">
        <v>280</v>
      </c>
      <c r="I27" t="s">
        <v>232</v>
      </c>
      <c r="K27" s="12" t="s">
        <v>99</v>
      </c>
      <c r="O27" s="12" t="s">
        <v>25</v>
      </c>
      <c r="P27" s="13">
        <v>46366</v>
      </c>
    </row>
    <row r="28" spans="1:16" ht="58" x14ac:dyDescent="0.35">
      <c r="A28" s="12" t="s">
        <v>233</v>
      </c>
      <c r="B28" s="18">
        <v>27</v>
      </c>
      <c r="C28" s="12" t="s">
        <v>234</v>
      </c>
      <c r="D28" s="14" t="s">
        <v>416</v>
      </c>
      <c r="E28" s="12" t="s">
        <v>235</v>
      </c>
      <c r="F28" s="12" t="s">
        <v>21</v>
      </c>
      <c r="G28" s="12" t="s">
        <v>236</v>
      </c>
      <c r="H28" s="10" t="s">
        <v>282</v>
      </c>
      <c r="I28" s="10" t="s">
        <v>297</v>
      </c>
      <c r="K28" s="12" t="s">
        <v>99</v>
      </c>
      <c r="O28" s="12" t="s">
        <v>25</v>
      </c>
      <c r="P28" s="12" t="s">
        <v>153</v>
      </c>
    </row>
    <row r="29" spans="1:16" ht="43.5" x14ac:dyDescent="0.35">
      <c r="A29" s="12" t="s">
        <v>237</v>
      </c>
      <c r="B29" s="18">
        <v>27</v>
      </c>
      <c r="C29" s="12" t="s">
        <v>234</v>
      </c>
      <c r="D29" s="14" t="s">
        <v>417</v>
      </c>
      <c r="E29" s="12" t="s">
        <v>235</v>
      </c>
      <c r="F29" s="12" t="s">
        <v>21</v>
      </c>
      <c r="G29" s="12" t="s">
        <v>238</v>
      </c>
      <c r="H29" s="10" t="s">
        <v>281</v>
      </c>
      <c r="I29" s="10" t="s">
        <v>298</v>
      </c>
      <c r="K29" s="12" t="s">
        <v>99</v>
      </c>
      <c r="O29" s="12" t="s">
        <v>25</v>
      </c>
      <c r="P29" s="12" t="s">
        <v>153</v>
      </c>
    </row>
    <row r="30" spans="1:16" ht="43.5" x14ac:dyDescent="0.35">
      <c r="A30" s="12" t="s">
        <v>239</v>
      </c>
      <c r="B30" s="18">
        <v>27</v>
      </c>
      <c r="C30" s="12" t="s">
        <v>234</v>
      </c>
      <c r="D30" s="14" t="s">
        <v>418</v>
      </c>
      <c r="E30" s="12" t="s">
        <v>235</v>
      </c>
      <c r="F30" s="12" t="s">
        <v>21</v>
      </c>
      <c r="G30" s="12" t="s">
        <v>240</v>
      </c>
      <c r="H30" s="10" t="s">
        <v>283</v>
      </c>
      <c r="I30" t="s">
        <v>241</v>
      </c>
      <c r="K30" s="12" t="s">
        <v>99</v>
      </c>
      <c r="O30" s="12" t="s">
        <v>25</v>
      </c>
      <c r="P30" s="12" t="s">
        <v>153</v>
      </c>
    </row>
    <row r="31" spans="1:16" ht="43.5" x14ac:dyDescent="0.35">
      <c r="A31" s="12" t="s">
        <v>242</v>
      </c>
      <c r="B31" s="18">
        <v>27</v>
      </c>
      <c r="C31" s="12" t="s">
        <v>234</v>
      </c>
      <c r="D31" s="14" t="s">
        <v>419</v>
      </c>
      <c r="E31" s="12" t="s">
        <v>235</v>
      </c>
      <c r="F31" s="12" t="s">
        <v>21</v>
      </c>
      <c r="G31" s="12" t="s">
        <v>243</v>
      </c>
      <c r="H31" s="10" t="s">
        <v>284</v>
      </c>
      <c r="I31" s="10" t="s">
        <v>299</v>
      </c>
      <c r="K31" s="12" t="s">
        <v>99</v>
      </c>
      <c r="O31" s="12" t="s">
        <v>25</v>
      </c>
      <c r="P31" s="12" t="s">
        <v>153</v>
      </c>
    </row>
    <row r="32" spans="1:16" ht="43.5" x14ac:dyDescent="0.35">
      <c r="A32" s="12" t="s">
        <v>244</v>
      </c>
      <c r="B32" s="18">
        <v>27</v>
      </c>
      <c r="C32" s="12" t="s">
        <v>234</v>
      </c>
      <c r="D32" s="14" t="s">
        <v>420</v>
      </c>
      <c r="E32" s="12" t="s">
        <v>235</v>
      </c>
      <c r="F32" s="12" t="s">
        <v>21</v>
      </c>
      <c r="G32" s="12" t="s">
        <v>245</v>
      </c>
      <c r="H32" s="10" t="s">
        <v>285</v>
      </c>
      <c r="I32" t="s">
        <v>246</v>
      </c>
      <c r="K32" s="12" t="s">
        <v>99</v>
      </c>
      <c r="O32" s="12" t="s">
        <v>25</v>
      </c>
      <c r="P32" s="12" t="s">
        <v>153</v>
      </c>
    </row>
    <row r="33" spans="1:16" ht="43.5" x14ac:dyDescent="0.35">
      <c r="A33" s="12" t="s">
        <v>247</v>
      </c>
      <c r="B33" s="18">
        <v>27</v>
      </c>
      <c r="C33" s="12" t="s">
        <v>234</v>
      </c>
      <c r="D33" s="14" t="s">
        <v>421</v>
      </c>
      <c r="E33" s="12" t="s">
        <v>235</v>
      </c>
      <c r="F33" s="12" t="s">
        <v>21</v>
      </c>
      <c r="G33" s="12" t="s">
        <v>248</v>
      </c>
      <c r="H33" s="10" t="s">
        <v>286</v>
      </c>
      <c r="I33" s="10" t="s">
        <v>300</v>
      </c>
      <c r="K33" s="12" t="s">
        <v>99</v>
      </c>
      <c r="O33" s="12" t="s">
        <v>25</v>
      </c>
      <c r="P33" s="12" t="s">
        <v>153</v>
      </c>
    </row>
    <row r="34" spans="1:16" ht="43.5" x14ac:dyDescent="0.35">
      <c r="A34" s="12" t="s">
        <v>249</v>
      </c>
      <c r="B34" s="18">
        <v>27</v>
      </c>
      <c r="C34" s="12" t="s">
        <v>234</v>
      </c>
      <c r="D34" s="14" t="s">
        <v>422</v>
      </c>
      <c r="E34" s="12" t="s">
        <v>235</v>
      </c>
      <c r="F34" s="12" t="s">
        <v>21</v>
      </c>
      <c r="G34" s="12" t="s">
        <v>250</v>
      </c>
      <c r="H34" s="10" t="s">
        <v>287</v>
      </c>
      <c r="I34" s="10" t="s">
        <v>302</v>
      </c>
      <c r="K34" s="12" t="s">
        <v>99</v>
      </c>
      <c r="O34" s="12" t="s">
        <v>25</v>
      </c>
      <c r="P34" s="12" t="s">
        <v>153</v>
      </c>
    </row>
    <row r="35" spans="1:16" ht="29" x14ac:dyDescent="0.35">
      <c r="A35" s="12" t="s">
        <v>251</v>
      </c>
      <c r="B35" s="18">
        <v>27</v>
      </c>
      <c r="C35" s="12" t="s">
        <v>234</v>
      </c>
      <c r="D35" s="14" t="s">
        <v>423</v>
      </c>
      <c r="E35" s="12" t="s">
        <v>20</v>
      </c>
      <c r="F35" s="12" t="s">
        <v>21</v>
      </c>
      <c r="G35" s="12" t="s">
        <v>252</v>
      </c>
      <c r="H35" s="10" t="s">
        <v>288</v>
      </c>
      <c r="I35" s="10" t="s">
        <v>301</v>
      </c>
      <c r="K35" s="12" t="s">
        <v>99</v>
      </c>
      <c r="O35" s="12" t="s">
        <v>25</v>
      </c>
      <c r="P35" s="12" t="s">
        <v>153</v>
      </c>
    </row>
    <row r="36" spans="1:16" ht="43.5" x14ac:dyDescent="0.35">
      <c r="A36" s="12" t="s">
        <v>253</v>
      </c>
      <c r="B36" s="18">
        <v>27</v>
      </c>
      <c r="C36" s="12" t="s">
        <v>234</v>
      </c>
      <c r="D36" s="12" t="s">
        <v>254</v>
      </c>
      <c r="E36" s="12" t="s">
        <v>20</v>
      </c>
      <c r="F36" s="12" t="s">
        <v>21</v>
      </c>
      <c r="G36" s="12" t="s">
        <v>255</v>
      </c>
      <c r="H36" s="10" t="s">
        <v>289</v>
      </c>
      <c r="I36" t="s">
        <v>256</v>
      </c>
      <c r="K36" s="12" t="s">
        <v>99</v>
      </c>
      <c r="O36" s="12" t="s">
        <v>25</v>
      </c>
      <c r="P36" s="12" t="s">
        <v>153</v>
      </c>
    </row>
    <row r="37" spans="1:16" ht="29" x14ac:dyDescent="0.35">
      <c r="A37" s="12" t="s">
        <v>257</v>
      </c>
      <c r="B37" s="18">
        <v>27</v>
      </c>
      <c r="C37" s="12" t="s">
        <v>234</v>
      </c>
      <c r="D37" s="14" t="s">
        <v>424</v>
      </c>
      <c r="E37" s="12" t="s">
        <v>235</v>
      </c>
      <c r="F37" s="12" t="s">
        <v>21</v>
      </c>
      <c r="G37" s="12" t="s">
        <v>258</v>
      </c>
      <c r="H37" s="10" t="s">
        <v>426</v>
      </c>
      <c r="I37" s="10" t="s">
        <v>303</v>
      </c>
      <c r="K37" s="12" t="s">
        <v>99</v>
      </c>
      <c r="O37" s="12" t="s">
        <v>25</v>
      </c>
      <c r="P37" s="12" t="s">
        <v>153</v>
      </c>
    </row>
    <row r="38" spans="1:16" x14ac:dyDescent="0.35">
      <c r="A38" s="12" t="s">
        <v>259</v>
      </c>
      <c r="B38" s="18">
        <v>27</v>
      </c>
      <c r="C38" s="12" t="s">
        <v>234</v>
      </c>
      <c r="D38" s="12" t="s">
        <v>260</v>
      </c>
      <c r="E38" s="12" t="s">
        <v>235</v>
      </c>
      <c r="F38" s="12" t="s">
        <v>21</v>
      </c>
      <c r="G38" s="12" t="s">
        <v>258</v>
      </c>
      <c r="H38" t="s">
        <v>261</v>
      </c>
      <c r="I38" t="s">
        <v>262</v>
      </c>
      <c r="K38" s="12" t="s">
        <v>99</v>
      </c>
      <c r="O38" s="12" t="s">
        <v>25</v>
      </c>
      <c r="P38" s="12" t="s">
        <v>153</v>
      </c>
    </row>
    <row r="39" spans="1:16" ht="29" x14ac:dyDescent="0.35">
      <c r="A39" s="12" t="s">
        <v>263</v>
      </c>
      <c r="B39" s="18">
        <v>27</v>
      </c>
      <c r="C39" s="12" t="s">
        <v>234</v>
      </c>
      <c r="D39" s="14" t="s">
        <v>425</v>
      </c>
      <c r="E39" s="12" t="s">
        <v>235</v>
      </c>
      <c r="F39" s="12" t="s">
        <v>50</v>
      </c>
      <c r="G39" s="12" t="s">
        <v>264</v>
      </c>
      <c r="H39" s="10" t="s">
        <v>290</v>
      </c>
      <c r="I39" t="s">
        <v>265</v>
      </c>
      <c r="K39" s="12" t="s">
        <v>99</v>
      </c>
      <c r="O39" s="12" t="s">
        <v>25</v>
      </c>
      <c r="P39" s="12" t="s">
        <v>153</v>
      </c>
    </row>
    <row r="40" spans="1:16" ht="43.5" x14ac:dyDescent="0.35">
      <c r="A40" s="12" t="s">
        <v>304</v>
      </c>
      <c r="B40" s="18">
        <v>8</v>
      </c>
      <c r="C40" s="12" t="s">
        <v>305</v>
      </c>
      <c r="D40" s="12" t="s">
        <v>306</v>
      </c>
      <c r="E40" s="12" t="s">
        <v>20</v>
      </c>
      <c r="F40" s="12" t="s">
        <v>21</v>
      </c>
      <c r="G40" s="12" t="s">
        <v>307</v>
      </c>
      <c r="H40" s="14" t="s">
        <v>427</v>
      </c>
      <c r="I40" s="12" t="s">
        <v>308</v>
      </c>
      <c r="K40" s="12" t="s">
        <v>99</v>
      </c>
      <c r="L40" s="12"/>
      <c r="M40" s="12"/>
      <c r="O40" s="12" t="s">
        <v>25</v>
      </c>
      <c r="P40" s="13">
        <v>46366</v>
      </c>
    </row>
    <row r="41" spans="1:16" ht="43.5" x14ac:dyDescent="0.35">
      <c r="A41" s="12" t="s">
        <v>309</v>
      </c>
      <c r="B41" s="18">
        <v>8</v>
      </c>
      <c r="C41" s="12" t="s">
        <v>305</v>
      </c>
      <c r="D41" s="12" t="s">
        <v>310</v>
      </c>
      <c r="E41" s="12" t="s">
        <v>48</v>
      </c>
      <c r="F41" s="12" t="s">
        <v>21</v>
      </c>
      <c r="G41" s="12" t="s">
        <v>307</v>
      </c>
      <c r="H41" s="14" t="s">
        <v>428</v>
      </c>
      <c r="I41" s="12" t="s">
        <v>311</v>
      </c>
      <c r="K41" s="12" t="s">
        <v>99</v>
      </c>
      <c r="L41" s="12"/>
      <c r="M41" s="12"/>
      <c r="O41" s="12" t="s">
        <v>25</v>
      </c>
      <c r="P41" s="13">
        <v>46366</v>
      </c>
    </row>
    <row r="42" spans="1:16" ht="43.5" x14ac:dyDescent="0.35">
      <c r="A42" s="12" t="s">
        <v>312</v>
      </c>
      <c r="B42" s="18">
        <v>8</v>
      </c>
      <c r="C42" s="12" t="s">
        <v>305</v>
      </c>
      <c r="D42" s="12" t="s">
        <v>313</v>
      </c>
      <c r="E42" s="12" t="s">
        <v>48</v>
      </c>
      <c r="F42" s="12" t="s">
        <v>21</v>
      </c>
      <c r="G42" s="12" t="s">
        <v>307</v>
      </c>
      <c r="H42" s="14" t="s">
        <v>429</v>
      </c>
      <c r="I42" s="12" t="s">
        <v>314</v>
      </c>
      <c r="K42" s="12" t="s">
        <v>99</v>
      </c>
      <c r="L42" s="12"/>
      <c r="M42" s="12"/>
      <c r="O42" s="12" t="s">
        <v>25</v>
      </c>
      <c r="P42" s="13">
        <v>46366</v>
      </c>
    </row>
    <row r="43" spans="1:16" ht="43.5" x14ac:dyDescent="0.35">
      <c r="A43" s="12" t="s">
        <v>315</v>
      </c>
      <c r="B43" s="18">
        <v>8</v>
      </c>
      <c r="C43" s="12" t="s">
        <v>305</v>
      </c>
      <c r="D43" s="12" t="s">
        <v>316</v>
      </c>
      <c r="E43" s="12" t="s">
        <v>20</v>
      </c>
      <c r="F43" s="12" t="s">
        <v>21</v>
      </c>
      <c r="G43" s="12" t="s">
        <v>317</v>
      </c>
      <c r="H43" s="14" t="s">
        <v>430</v>
      </c>
      <c r="I43" s="12" t="s">
        <v>318</v>
      </c>
      <c r="K43" s="12" t="s">
        <v>99</v>
      </c>
      <c r="L43" s="12"/>
      <c r="M43" s="12"/>
      <c r="O43" s="12" t="s">
        <v>25</v>
      </c>
      <c r="P43" s="13">
        <v>46366</v>
      </c>
    </row>
    <row r="44" spans="1:16" ht="43.5" x14ac:dyDescent="0.35">
      <c r="A44" s="12" t="s">
        <v>319</v>
      </c>
      <c r="B44" s="18">
        <v>8</v>
      </c>
      <c r="C44" s="12" t="s">
        <v>305</v>
      </c>
      <c r="D44" s="12" t="s">
        <v>320</v>
      </c>
      <c r="E44" s="12" t="s">
        <v>48</v>
      </c>
      <c r="F44" s="12" t="s">
        <v>21</v>
      </c>
      <c r="G44" s="12" t="s">
        <v>321</v>
      </c>
      <c r="H44" s="14" t="s">
        <v>431</v>
      </c>
      <c r="I44" s="12" t="s">
        <v>322</v>
      </c>
      <c r="K44" s="12" t="s">
        <v>99</v>
      </c>
      <c r="L44" s="12"/>
      <c r="M44" s="12"/>
      <c r="O44" s="12" t="s">
        <v>25</v>
      </c>
      <c r="P44" s="13">
        <v>46366</v>
      </c>
    </row>
    <row r="45" spans="1:16" ht="43.5" x14ac:dyDescent="0.35">
      <c r="A45" s="12" t="s">
        <v>323</v>
      </c>
      <c r="B45" s="18">
        <v>8</v>
      </c>
      <c r="C45" s="12" t="s">
        <v>305</v>
      </c>
      <c r="D45" s="12" t="s">
        <v>324</v>
      </c>
      <c r="E45" s="12" t="s">
        <v>20</v>
      </c>
      <c r="F45" s="12" t="s">
        <v>50</v>
      </c>
      <c r="G45" s="12" t="s">
        <v>317</v>
      </c>
      <c r="H45" s="14" t="s">
        <v>432</v>
      </c>
      <c r="I45" s="12" t="s">
        <v>325</v>
      </c>
      <c r="K45" s="12" t="s">
        <v>99</v>
      </c>
      <c r="L45" s="12"/>
      <c r="M45" s="12"/>
      <c r="O45" s="12" t="s">
        <v>25</v>
      </c>
      <c r="P45" s="13">
        <v>46366</v>
      </c>
    </row>
    <row r="46" spans="1:16" ht="29" x14ac:dyDescent="0.35">
      <c r="A46" s="12" t="s">
        <v>326</v>
      </c>
      <c r="B46" s="18">
        <v>9</v>
      </c>
      <c r="C46" s="12" t="s">
        <v>327</v>
      </c>
      <c r="D46" s="12" t="s">
        <v>328</v>
      </c>
      <c r="E46" s="12" t="s">
        <v>20</v>
      </c>
      <c r="F46" s="12" t="s">
        <v>21</v>
      </c>
      <c r="G46" s="12" t="s">
        <v>329</v>
      </c>
      <c r="H46" s="14" t="s">
        <v>433</v>
      </c>
      <c r="I46" s="12" t="s">
        <v>330</v>
      </c>
      <c r="K46" s="12" t="s">
        <v>99</v>
      </c>
      <c r="L46" s="12"/>
      <c r="M46" s="12"/>
      <c r="O46" s="12" t="s">
        <v>25</v>
      </c>
      <c r="P46" s="13">
        <v>46366</v>
      </c>
    </row>
    <row r="47" spans="1:16" ht="29" x14ac:dyDescent="0.35">
      <c r="A47" s="12" t="s">
        <v>331</v>
      </c>
      <c r="B47" s="18">
        <v>9</v>
      </c>
      <c r="C47" s="12" t="s">
        <v>327</v>
      </c>
      <c r="D47" s="12" t="s">
        <v>332</v>
      </c>
      <c r="E47" s="12" t="s">
        <v>48</v>
      </c>
      <c r="F47" s="12" t="s">
        <v>21</v>
      </c>
      <c r="G47" s="12" t="s">
        <v>333</v>
      </c>
      <c r="H47" s="14" t="s">
        <v>433</v>
      </c>
      <c r="I47" s="12" t="s">
        <v>334</v>
      </c>
      <c r="K47" s="12" t="s">
        <v>99</v>
      </c>
      <c r="L47" s="12"/>
      <c r="M47" s="12"/>
      <c r="O47" s="12" t="s">
        <v>25</v>
      </c>
      <c r="P47" s="13">
        <v>46366</v>
      </c>
    </row>
    <row r="48" spans="1:16" ht="43.5" x14ac:dyDescent="0.35">
      <c r="A48" s="12" t="s">
        <v>335</v>
      </c>
      <c r="B48" s="18">
        <v>9</v>
      </c>
      <c r="C48" s="12" t="s">
        <v>327</v>
      </c>
      <c r="D48" s="12" t="s">
        <v>336</v>
      </c>
      <c r="E48" s="12" t="s">
        <v>20</v>
      </c>
      <c r="F48" s="12" t="s">
        <v>21</v>
      </c>
      <c r="G48" s="12" t="s">
        <v>329</v>
      </c>
      <c r="H48" s="14" t="s">
        <v>434</v>
      </c>
      <c r="I48" s="12" t="s">
        <v>337</v>
      </c>
      <c r="K48" s="12" t="s">
        <v>99</v>
      </c>
      <c r="L48" s="12"/>
      <c r="M48" s="12"/>
      <c r="O48" s="12" t="s">
        <v>25</v>
      </c>
      <c r="P48" s="13">
        <v>46366</v>
      </c>
    </row>
    <row r="49" spans="1:16" ht="43.5" x14ac:dyDescent="0.35">
      <c r="A49" s="12" t="s">
        <v>338</v>
      </c>
      <c r="B49" s="18">
        <v>9</v>
      </c>
      <c r="C49" s="12" t="s">
        <v>327</v>
      </c>
      <c r="D49" s="12" t="s">
        <v>339</v>
      </c>
      <c r="E49" s="12" t="s">
        <v>48</v>
      </c>
      <c r="F49" s="12" t="s">
        <v>21</v>
      </c>
      <c r="G49" s="12" t="s">
        <v>329</v>
      </c>
      <c r="H49" s="14" t="s">
        <v>435</v>
      </c>
      <c r="I49" s="12" t="s">
        <v>340</v>
      </c>
      <c r="K49" s="12" t="s">
        <v>99</v>
      </c>
      <c r="L49" s="12"/>
      <c r="M49" s="12"/>
      <c r="O49" s="12" t="s">
        <v>25</v>
      </c>
      <c r="P49" s="13">
        <v>46366</v>
      </c>
    </row>
    <row r="50" spans="1:16" ht="29" x14ac:dyDescent="0.35">
      <c r="A50" s="12" t="s">
        <v>341</v>
      </c>
      <c r="B50" s="18">
        <v>9</v>
      </c>
      <c r="C50" s="12" t="s">
        <v>327</v>
      </c>
      <c r="D50" s="12" t="s">
        <v>342</v>
      </c>
      <c r="E50" s="12" t="s">
        <v>48</v>
      </c>
      <c r="F50" s="12" t="s">
        <v>21</v>
      </c>
      <c r="G50" s="12" t="s">
        <v>329</v>
      </c>
      <c r="H50" s="14" t="s">
        <v>436</v>
      </c>
      <c r="I50" s="12" t="s">
        <v>334</v>
      </c>
      <c r="K50" s="12" t="s">
        <v>99</v>
      </c>
      <c r="L50" s="12"/>
      <c r="M50" s="12"/>
      <c r="O50" s="12" t="s">
        <v>25</v>
      </c>
      <c r="P50" s="13">
        <v>46366</v>
      </c>
    </row>
    <row r="51" spans="1:16" ht="29" x14ac:dyDescent="0.35">
      <c r="A51" s="12" t="s">
        <v>343</v>
      </c>
      <c r="B51" s="18">
        <v>10</v>
      </c>
      <c r="C51" s="12" t="s">
        <v>344</v>
      </c>
      <c r="D51" s="12" t="s">
        <v>345</v>
      </c>
      <c r="E51" s="12" t="s">
        <v>20</v>
      </c>
      <c r="F51" s="12" t="s">
        <v>21</v>
      </c>
      <c r="G51" s="12" t="s">
        <v>201</v>
      </c>
      <c r="H51" s="14" t="s">
        <v>437</v>
      </c>
      <c r="I51" s="12" t="s">
        <v>346</v>
      </c>
      <c r="K51" s="12" t="s">
        <v>99</v>
      </c>
      <c r="L51" s="12"/>
      <c r="M51" s="12"/>
      <c r="O51" s="12" t="s">
        <v>25</v>
      </c>
      <c r="P51" s="13">
        <v>46366</v>
      </c>
    </row>
    <row r="52" spans="1:16" ht="43.5" x14ac:dyDescent="0.35">
      <c r="A52" s="12" t="s">
        <v>347</v>
      </c>
      <c r="B52" s="18">
        <v>10</v>
      </c>
      <c r="C52" s="12" t="s">
        <v>344</v>
      </c>
      <c r="D52" s="12" t="s">
        <v>348</v>
      </c>
      <c r="E52" s="12" t="s">
        <v>20</v>
      </c>
      <c r="F52" s="12" t="s">
        <v>50</v>
      </c>
      <c r="G52" s="12" t="s">
        <v>329</v>
      </c>
      <c r="H52" s="14" t="s">
        <v>438</v>
      </c>
      <c r="I52" s="12" t="s">
        <v>349</v>
      </c>
      <c r="K52" s="12" t="s">
        <v>99</v>
      </c>
      <c r="L52" s="12"/>
      <c r="M52" s="12"/>
      <c r="O52" s="12" t="s">
        <v>25</v>
      </c>
      <c r="P52" s="13">
        <v>46366</v>
      </c>
    </row>
    <row r="53" spans="1:16" ht="29" x14ac:dyDescent="0.35">
      <c r="A53" s="12" t="s">
        <v>350</v>
      </c>
      <c r="B53" s="18">
        <v>10</v>
      </c>
      <c r="C53" s="12" t="s">
        <v>344</v>
      </c>
      <c r="D53" s="12" t="s">
        <v>351</v>
      </c>
      <c r="E53" s="12" t="s">
        <v>48</v>
      </c>
      <c r="F53" s="12" t="s">
        <v>50</v>
      </c>
      <c r="G53" s="12" t="s">
        <v>352</v>
      </c>
      <c r="H53" s="14" t="s">
        <v>439</v>
      </c>
      <c r="I53" s="12" t="s">
        <v>340</v>
      </c>
      <c r="K53" s="12" t="s">
        <v>99</v>
      </c>
      <c r="L53" s="12"/>
      <c r="M53" s="12"/>
      <c r="O53" s="12" t="s">
        <v>25</v>
      </c>
      <c r="P53" s="13">
        <v>46366</v>
      </c>
    </row>
    <row r="54" spans="1:16" ht="43.5" x14ac:dyDescent="0.35">
      <c r="A54" s="12" t="s">
        <v>353</v>
      </c>
      <c r="B54" s="18">
        <v>11</v>
      </c>
      <c r="C54" s="12" t="s">
        <v>73</v>
      </c>
      <c r="D54" s="12" t="s">
        <v>354</v>
      </c>
      <c r="E54" s="12" t="s">
        <v>20</v>
      </c>
      <c r="F54" s="12" t="s">
        <v>21</v>
      </c>
      <c r="G54" s="12" t="s">
        <v>355</v>
      </c>
      <c r="H54" s="14" t="s">
        <v>440</v>
      </c>
      <c r="I54" s="12" t="s">
        <v>356</v>
      </c>
      <c r="K54" s="12" t="s">
        <v>99</v>
      </c>
      <c r="L54" s="12"/>
      <c r="M54" s="12"/>
      <c r="O54" s="12" t="s">
        <v>25</v>
      </c>
      <c r="P54" s="13">
        <v>46366</v>
      </c>
    </row>
    <row r="55" spans="1:16" ht="43.5" x14ac:dyDescent="0.35">
      <c r="A55" s="12" t="s">
        <v>357</v>
      </c>
      <c r="B55" s="18">
        <v>11</v>
      </c>
      <c r="C55" s="12" t="s">
        <v>73</v>
      </c>
      <c r="D55" s="12" t="s">
        <v>358</v>
      </c>
      <c r="E55" s="12" t="s">
        <v>20</v>
      </c>
      <c r="F55" s="12" t="s">
        <v>21</v>
      </c>
      <c r="G55" s="12" t="s">
        <v>355</v>
      </c>
      <c r="H55" s="14" t="s">
        <v>441</v>
      </c>
      <c r="I55" s="12" t="s">
        <v>356</v>
      </c>
      <c r="K55" s="12" t="s">
        <v>99</v>
      </c>
      <c r="L55" s="12"/>
      <c r="M55" s="12"/>
      <c r="O55" s="12" t="s">
        <v>25</v>
      </c>
      <c r="P55" s="13">
        <v>46366</v>
      </c>
    </row>
    <row r="56" spans="1:16" ht="43.5" x14ac:dyDescent="0.35">
      <c r="A56" s="12" t="s">
        <v>359</v>
      </c>
      <c r="B56" s="18">
        <v>11</v>
      </c>
      <c r="C56" s="12" t="s">
        <v>73</v>
      </c>
      <c r="D56" s="12" t="s">
        <v>360</v>
      </c>
      <c r="E56" s="12" t="s">
        <v>20</v>
      </c>
      <c r="F56" s="12" t="s">
        <v>21</v>
      </c>
      <c r="G56" s="12" t="s">
        <v>355</v>
      </c>
      <c r="H56" s="14" t="s">
        <v>442</v>
      </c>
      <c r="I56" s="12" t="s">
        <v>356</v>
      </c>
      <c r="K56" s="12" t="s">
        <v>99</v>
      </c>
      <c r="L56" s="12"/>
      <c r="M56" s="12"/>
      <c r="O56" s="12" t="s">
        <v>25</v>
      </c>
      <c r="P56" s="13">
        <v>46366</v>
      </c>
    </row>
    <row r="57" spans="1:16" ht="29" x14ac:dyDescent="0.35">
      <c r="A57" s="12" t="s">
        <v>361</v>
      </c>
      <c r="B57" s="18">
        <v>11</v>
      </c>
      <c r="C57" s="12" t="s">
        <v>73</v>
      </c>
      <c r="D57" s="12" t="s">
        <v>362</v>
      </c>
      <c r="E57" s="12" t="s">
        <v>20</v>
      </c>
      <c r="F57" s="12" t="s">
        <v>21</v>
      </c>
      <c r="G57" s="12" t="s">
        <v>201</v>
      </c>
      <c r="H57" s="14" t="s">
        <v>443</v>
      </c>
      <c r="I57" s="12" t="s">
        <v>363</v>
      </c>
      <c r="K57" s="12" t="s">
        <v>99</v>
      </c>
      <c r="L57" s="12"/>
      <c r="M57" s="12"/>
      <c r="O57" s="12" t="s">
        <v>25</v>
      </c>
      <c r="P57" s="13">
        <v>46366</v>
      </c>
    </row>
    <row r="58" spans="1:16" ht="29" x14ac:dyDescent="0.35">
      <c r="A58" s="12" t="s">
        <v>364</v>
      </c>
      <c r="B58" s="18">
        <v>11</v>
      </c>
      <c r="C58" s="12" t="s">
        <v>73</v>
      </c>
      <c r="D58" s="12" t="s">
        <v>365</v>
      </c>
      <c r="E58" s="12" t="s">
        <v>20</v>
      </c>
      <c r="F58" s="12" t="s">
        <v>21</v>
      </c>
      <c r="G58" s="12" t="s">
        <v>201</v>
      </c>
      <c r="H58" s="14" t="s">
        <v>444</v>
      </c>
      <c r="I58" s="12" t="s">
        <v>366</v>
      </c>
      <c r="K58" s="12" t="s">
        <v>99</v>
      </c>
      <c r="L58" s="12"/>
      <c r="M58" s="12"/>
      <c r="O58" s="12" t="s">
        <v>25</v>
      </c>
      <c r="P58" s="13">
        <v>46366</v>
      </c>
    </row>
    <row r="59" spans="1:16" ht="43.5" x14ac:dyDescent="0.35">
      <c r="A59" s="12" t="s">
        <v>367</v>
      </c>
      <c r="B59" s="18">
        <v>13</v>
      </c>
      <c r="C59" s="12" t="s">
        <v>368</v>
      </c>
      <c r="D59" s="12" t="s">
        <v>369</v>
      </c>
      <c r="E59" s="12" t="s">
        <v>20</v>
      </c>
      <c r="F59" s="12" t="s">
        <v>21</v>
      </c>
      <c r="G59" s="12" t="s">
        <v>370</v>
      </c>
      <c r="H59" s="14" t="s">
        <v>445</v>
      </c>
      <c r="I59" s="12" t="s">
        <v>371</v>
      </c>
      <c r="K59" s="12" t="s">
        <v>99</v>
      </c>
      <c r="L59" s="12"/>
      <c r="M59" s="12"/>
      <c r="O59" s="12" t="s">
        <v>25</v>
      </c>
      <c r="P59" s="13">
        <v>46366</v>
      </c>
    </row>
    <row r="60" spans="1:16" ht="43.5" x14ac:dyDescent="0.35">
      <c r="A60" s="12" t="s">
        <v>372</v>
      </c>
      <c r="B60" s="18">
        <v>13</v>
      </c>
      <c r="C60" s="12" t="s">
        <v>368</v>
      </c>
      <c r="D60" s="12" t="s">
        <v>373</v>
      </c>
      <c r="E60" s="12" t="s">
        <v>48</v>
      </c>
      <c r="F60" s="12" t="s">
        <v>21</v>
      </c>
      <c r="G60" s="12" t="s">
        <v>321</v>
      </c>
      <c r="H60" s="14" t="s">
        <v>446</v>
      </c>
      <c r="I60" s="12" t="s">
        <v>374</v>
      </c>
      <c r="K60" s="12" t="s">
        <v>99</v>
      </c>
      <c r="L60" s="12"/>
      <c r="M60" s="12"/>
      <c r="O60" s="12" t="s">
        <v>25</v>
      </c>
      <c r="P60" s="13">
        <v>46366</v>
      </c>
    </row>
    <row r="61" spans="1:16" ht="29" x14ac:dyDescent="0.35">
      <c r="A61" s="12" t="s">
        <v>375</v>
      </c>
      <c r="B61" s="18">
        <v>13</v>
      </c>
      <c r="C61" s="12" t="s">
        <v>368</v>
      </c>
      <c r="D61" s="12" t="s">
        <v>376</v>
      </c>
      <c r="E61" s="12" t="s">
        <v>20</v>
      </c>
      <c r="F61" s="12" t="s">
        <v>50</v>
      </c>
      <c r="G61" s="12" t="s">
        <v>201</v>
      </c>
      <c r="H61" s="14" t="s">
        <v>447</v>
      </c>
      <c r="I61" s="12" t="s">
        <v>377</v>
      </c>
      <c r="K61" s="12" t="s">
        <v>99</v>
      </c>
      <c r="L61" s="12"/>
      <c r="M61" s="12"/>
      <c r="O61" s="12" t="s">
        <v>25</v>
      </c>
      <c r="P61" s="13">
        <v>46366</v>
      </c>
    </row>
    <row r="62" spans="1:16" ht="29" x14ac:dyDescent="0.35">
      <c r="A62" s="12" t="s">
        <v>378</v>
      </c>
      <c r="B62" s="18">
        <v>17</v>
      </c>
      <c r="C62" s="12" t="s">
        <v>379</v>
      </c>
      <c r="D62" s="12" t="s">
        <v>380</v>
      </c>
      <c r="E62" s="12" t="s">
        <v>20</v>
      </c>
      <c r="F62" s="12" t="s">
        <v>50</v>
      </c>
      <c r="G62" s="12" t="s">
        <v>201</v>
      </c>
      <c r="H62" s="14" t="s">
        <v>448</v>
      </c>
      <c r="I62" s="12" t="s">
        <v>381</v>
      </c>
      <c r="K62" s="12" t="s">
        <v>99</v>
      </c>
      <c r="L62" s="12"/>
      <c r="M62" s="12"/>
      <c r="O62" s="12" t="s">
        <v>25</v>
      </c>
      <c r="P62" s="13">
        <v>46366</v>
      </c>
    </row>
    <row r="63" spans="1:16" ht="43.5" x14ac:dyDescent="0.35">
      <c r="A63" s="12" t="s">
        <v>382</v>
      </c>
      <c r="B63" s="18">
        <v>17</v>
      </c>
      <c r="C63" s="12" t="s">
        <v>379</v>
      </c>
      <c r="D63" s="12" t="s">
        <v>383</v>
      </c>
      <c r="E63" s="12" t="s">
        <v>20</v>
      </c>
      <c r="F63" s="12" t="s">
        <v>50</v>
      </c>
      <c r="G63" s="12" t="s">
        <v>329</v>
      </c>
      <c r="H63" s="14" t="s">
        <v>449</v>
      </c>
      <c r="I63" s="12" t="s">
        <v>384</v>
      </c>
      <c r="K63" s="12" t="s">
        <v>99</v>
      </c>
      <c r="L63" s="12"/>
      <c r="M63" s="12"/>
      <c r="O63" s="12" t="s">
        <v>25</v>
      </c>
      <c r="P63" s="13">
        <v>46366</v>
      </c>
    </row>
    <row r="64" spans="1:16" ht="29" x14ac:dyDescent="0.35">
      <c r="A64" s="12" t="s">
        <v>385</v>
      </c>
      <c r="B64" s="18">
        <v>21</v>
      </c>
      <c r="C64" s="12" t="s">
        <v>386</v>
      </c>
      <c r="D64" s="12" t="s">
        <v>387</v>
      </c>
      <c r="E64" s="12" t="s">
        <v>20</v>
      </c>
      <c r="F64" s="12" t="s">
        <v>21</v>
      </c>
      <c r="G64" s="12" t="s">
        <v>201</v>
      </c>
      <c r="H64" s="14" t="s">
        <v>450</v>
      </c>
      <c r="I64" s="12" t="s">
        <v>388</v>
      </c>
      <c r="K64" s="12" t="s">
        <v>99</v>
      </c>
      <c r="L64" s="12"/>
      <c r="M64" s="12"/>
      <c r="O64" s="12" t="s">
        <v>25</v>
      </c>
      <c r="P64" s="13">
        <v>46366</v>
      </c>
    </row>
    <row r="65" spans="1:16" ht="29" x14ac:dyDescent="0.35">
      <c r="A65" s="12" t="s">
        <v>389</v>
      </c>
      <c r="B65" s="18">
        <v>21</v>
      </c>
      <c r="C65" s="12" t="s">
        <v>386</v>
      </c>
      <c r="D65" s="12" t="s">
        <v>390</v>
      </c>
      <c r="E65" s="12" t="s">
        <v>20</v>
      </c>
      <c r="F65" s="12" t="s">
        <v>50</v>
      </c>
      <c r="G65" s="12" t="s">
        <v>201</v>
      </c>
      <c r="H65" s="14" t="s">
        <v>451</v>
      </c>
      <c r="I65" s="12" t="s">
        <v>391</v>
      </c>
      <c r="K65" s="12" t="s">
        <v>99</v>
      </c>
      <c r="L65" s="12"/>
      <c r="M65" s="12"/>
      <c r="O65" s="12" t="s">
        <v>25</v>
      </c>
      <c r="P65" s="13">
        <v>46366</v>
      </c>
    </row>
    <row r="66" spans="1:16" ht="43.5" x14ac:dyDescent="0.35">
      <c r="A66" s="12" t="s">
        <v>392</v>
      </c>
      <c r="B66" s="18">
        <v>21</v>
      </c>
      <c r="C66" s="12" t="s">
        <v>386</v>
      </c>
      <c r="D66" s="12" t="s">
        <v>393</v>
      </c>
      <c r="E66" s="12" t="s">
        <v>20</v>
      </c>
      <c r="F66" s="12" t="s">
        <v>50</v>
      </c>
      <c r="G66" s="12" t="s">
        <v>329</v>
      </c>
      <c r="H66" s="14" t="s">
        <v>452</v>
      </c>
      <c r="I66" s="12" t="s">
        <v>394</v>
      </c>
      <c r="K66" s="12" t="s">
        <v>99</v>
      </c>
      <c r="L66" s="12"/>
      <c r="M66" s="12"/>
      <c r="O66" s="12" t="s">
        <v>25</v>
      </c>
      <c r="P66" s="13">
        <v>46366</v>
      </c>
    </row>
    <row r="67" spans="1:16" ht="29" x14ac:dyDescent="0.35">
      <c r="A67" s="12" t="s">
        <v>395</v>
      </c>
      <c r="B67" s="18">
        <v>15</v>
      </c>
      <c r="C67" s="12" t="s">
        <v>192</v>
      </c>
      <c r="D67" s="12" t="s">
        <v>396</v>
      </c>
      <c r="E67" s="12" t="s">
        <v>20</v>
      </c>
      <c r="F67" s="12" t="s">
        <v>21</v>
      </c>
      <c r="G67" s="12" t="s">
        <v>201</v>
      </c>
      <c r="H67" s="14" t="s">
        <v>453</v>
      </c>
      <c r="I67" s="12" t="s">
        <v>397</v>
      </c>
      <c r="K67" s="12" t="s">
        <v>99</v>
      </c>
      <c r="L67" s="12"/>
      <c r="M67" s="12"/>
      <c r="O67" s="12" t="s">
        <v>25</v>
      </c>
      <c r="P67" s="13">
        <v>46366</v>
      </c>
    </row>
    <row r="68" spans="1:16" ht="29" x14ac:dyDescent="0.35">
      <c r="A68" s="12" t="s">
        <v>398</v>
      </c>
      <c r="B68" s="18">
        <v>19</v>
      </c>
      <c r="C68" s="12" t="s">
        <v>192</v>
      </c>
      <c r="D68" s="12" t="s">
        <v>399</v>
      </c>
      <c r="E68" s="12" t="s">
        <v>20</v>
      </c>
      <c r="F68" s="12" t="s">
        <v>21</v>
      </c>
      <c r="G68" s="12" t="s">
        <v>201</v>
      </c>
      <c r="H68" s="14" t="s">
        <v>454</v>
      </c>
      <c r="I68" s="12" t="s">
        <v>400</v>
      </c>
      <c r="K68" s="12" t="s">
        <v>99</v>
      </c>
      <c r="L68" s="12"/>
      <c r="M68" s="12"/>
      <c r="O68" s="12" t="s">
        <v>25</v>
      </c>
      <c r="P68" s="13">
        <v>46366</v>
      </c>
    </row>
    <row r="69" spans="1:16" ht="29" x14ac:dyDescent="0.35">
      <c r="A69" s="12" t="s">
        <v>401</v>
      </c>
      <c r="B69" s="18">
        <v>19</v>
      </c>
      <c r="C69" s="12" t="s">
        <v>192</v>
      </c>
      <c r="D69" s="12" t="s">
        <v>402</v>
      </c>
      <c r="E69" s="12" t="s">
        <v>20</v>
      </c>
      <c r="F69" s="12" t="s">
        <v>50</v>
      </c>
      <c r="G69" s="12" t="s">
        <v>201</v>
      </c>
      <c r="H69" s="14" t="s">
        <v>455</v>
      </c>
      <c r="I69" s="12" t="s">
        <v>403</v>
      </c>
      <c r="K69" s="12" t="s">
        <v>99</v>
      </c>
      <c r="L69" s="12"/>
      <c r="M69" s="12"/>
      <c r="O69" s="12" t="s">
        <v>25</v>
      </c>
      <c r="P69" s="13">
        <v>46366</v>
      </c>
    </row>
    <row r="70" spans="1:16" ht="29" x14ac:dyDescent="0.35">
      <c r="A70" s="12" t="s">
        <v>404</v>
      </c>
      <c r="B70" s="18">
        <v>15</v>
      </c>
      <c r="C70" s="12" t="s">
        <v>192</v>
      </c>
      <c r="D70" s="12" t="s">
        <v>405</v>
      </c>
      <c r="E70" s="12" t="s">
        <v>20</v>
      </c>
      <c r="F70" s="12" t="s">
        <v>21</v>
      </c>
      <c r="G70" s="12" t="s">
        <v>201</v>
      </c>
      <c r="H70" s="14" t="s">
        <v>456</v>
      </c>
      <c r="I70" s="12" t="s">
        <v>406</v>
      </c>
      <c r="K70" s="12" t="s">
        <v>99</v>
      </c>
      <c r="L70" s="12"/>
      <c r="M70" s="12"/>
      <c r="O70" s="12" t="s">
        <v>25</v>
      </c>
      <c r="P70" s="13">
        <v>46366</v>
      </c>
    </row>
    <row r="71" spans="1:16" ht="29" x14ac:dyDescent="0.35">
      <c r="A71" s="12" t="s">
        <v>407</v>
      </c>
      <c r="B71" s="18">
        <v>24</v>
      </c>
      <c r="C71" s="12" t="s">
        <v>192</v>
      </c>
      <c r="D71" s="12" t="s">
        <v>408</v>
      </c>
      <c r="E71" s="12" t="s">
        <v>20</v>
      </c>
      <c r="F71" s="12" t="s">
        <v>50</v>
      </c>
      <c r="G71" s="12" t="s">
        <v>201</v>
      </c>
      <c r="H71" s="14" t="s">
        <v>457</v>
      </c>
      <c r="I71" s="12" t="s">
        <v>409</v>
      </c>
      <c r="K71" s="12" t="s">
        <v>99</v>
      </c>
      <c r="L71" s="12"/>
      <c r="M71" s="12"/>
      <c r="O71" s="12" t="s">
        <v>25</v>
      </c>
      <c r="P71" s="13">
        <v>46366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87AFD-E38E-4752-8345-B70DBD79E2D9}">
  <dimension ref="A1:W3"/>
  <sheetViews>
    <sheetView zoomScale="48" zoomScaleNormal="48" workbookViewId="0">
      <pane ySplit="1" topLeftCell="A2" activePane="bottomLeft" state="frozen"/>
      <selection activeCell="U50" sqref="U50"/>
      <selection pane="bottomLeft" activeCell="U50" sqref="U50"/>
    </sheetView>
  </sheetViews>
  <sheetFormatPr defaultRowHeight="14.5" x14ac:dyDescent="0.35"/>
  <cols>
    <col min="2" max="2" width="24.90625" customWidth="1"/>
    <col min="3" max="3" width="15.1796875" customWidth="1"/>
    <col min="4" max="4" width="12.54296875" customWidth="1"/>
    <col min="5" max="5" width="10.7265625" customWidth="1"/>
    <col min="6" max="6" width="9.08984375" customWidth="1"/>
    <col min="8" max="8" width="11.81640625" customWidth="1"/>
    <col min="9" max="9" width="13" customWidth="1"/>
    <col min="10" max="10" width="26.08984375" customWidth="1"/>
    <col min="11" max="11" width="23.7265625" customWidth="1"/>
    <col min="12" max="12" width="19.08984375" customWidth="1"/>
    <col min="13" max="13" width="10.54296875" customWidth="1"/>
    <col min="14" max="14" width="23.26953125" customWidth="1"/>
    <col min="15" max="15" width="26.08984375" customWidth="1"/>
    <col min="16" max="16" width="8.453125" customWidth="1"/>
    <col min="17" max="17" width="13.81640625" customWidth="1"/>
    <col min="18" max="18" width="14.26953125" customWidth="1"/>
    <col min="19" max="19" width="17.453125" customWidth="1"/>
    <col min="20" max="20" width="18.36328125" customWidth="1"/>
    <col min="21" max="21" width="21.453125" customWidth="1"/>
  </cols>
  <sheetData>
    <row r="1" spans="1:23" x14ac:dyDescent="0.35">
      <c r="A1" s="8" t="s">
        <v>12</v>
      </c>
      <c r="B1" s="8" t="s">
        <v>60</v>
      </c>
      <c r="C1" s="8" t="s">
        <v>61</v>
      </c>
      <c r="D1" s="8" t="s">
        <v>62</v>
      </c>
      <c r="E1" s="8" t="s">
        <v>2</v>
      </c>
      <c r="F1" s="8" t="s">
        <v>11</v>
      </c>
      <c r="G1" s="8" t="s">
        <v>63</v>
      </c>
      <c r="H1" s="8" t="s">
        <v>64</v>
      </c>
      <c r="I1" s="8" t="s">
        <v>16</v>
      </c>
      <c r="J1" s="8" t="s">
        <v>65</v>
      </c>
      <c r="K1" s="8" t="s">
        <v>8</v>
      </c>
      <c r="L1" s="8" t="s">
        <v>9</v>
      </c>
      <c r="M1" s="8" t="s">
        <v>66</v>
      </c>
      <c r="N1" s="8" t="s">
        <v>67</v>
      </c>
      <c r="O1" s="8" t="s">
        <v>13</v>
      </c>
      <c r="P1" s="8" t="s">
        <v>10</v>
      </c>
      <c r="Q1" s="8" t="s">
        <v>68</v>
      </c>
      <c r="R1" s="8" t="s">
        <v>69</v>
      </c>
      <c r="S1" s="8" t="s">
        <v>70</v>
      </c>
      <c r="T1" s="8" t="s">
        <v>71</v>
      </c>
    </row>
    <row r="2" spans="1:23" ht="58" x14ac:dyDescent="0.35">
      <c r="A2" s="12" t="s">
        <v>72</v>
      </c>
      <c r="B2" s="14" t="s">
        <v>94</v>
      </c>
      <c r="C2" s="12" t="s">
        <v>25</v>
      </c>
      <c r="D2" s="13">
        <v>46336</v>
      </c>
      <c r="E2" s="12" t="s">
        <v>73</v>
      </c>
      <c r="F2" s="12" t="s">
        <v>74</v>
      </c>
      <c r="G2" s="12" t="s">
        <v>21</v>
      </c>
      <c r="H2" s="12" t="s">
        <v>75</v>
      </c>
      <c r="I2" s="12" t="s">
        <v>76</v>
      </c>
      <c r="J2" s="10" t="s">
        <v>92</v>
      </c>
      <c r="K2" s="12" t="s">
        <v>77</v>
      </c>
      <c r="L2" s="12" t="s">
        <v>78</v>
      </c>
      <c r="M2" s="12" t="s">
        <v>79</v>
      </c>
      <c r="N2" s="12" t="s">
        <v>80</v>
      </c>
      <c r="O2" s="12" t="s">
        <v>81</v>
      </c>
      <c r="P2" s="12" t="s">
        <v>82</v>
      </c>
      <c r="Q2" s="12" t="s">
        <v>83</v>
      </c>
      <c r="R2" s="12"/>
      <c r="S2" s="12"/>
      <c r="T2" s="12"/>
      <c r="U2" s="12" t="s">
        <v>84</v>
      </c>
      <c r="V2" s="12"/>
      <c r="W2" s="12"/>
    </row>
    <row r="3" spans="1:23" ht="43.5" x14ac:dyDescent="0.35">
      <c r="A3" s="12" t="s">
        <v>85</v>
      </c>
      <c r="B3" s="14" t="s">
        <v>95</v>
      </c>
      <c r="C3" s="12" t="s">
        <v>25</v>
      </c>
      <c r="D3" s="13">
        <v>46336</v>
      </c>
      <c r="E3" s="12" t="s">
        <v>37</v>
      </c>
      <c r="F3" s="12" t="s">
        <v>86</v>
      </c>
      <c r="G3" s="12" t="s">
        <v>21</v>
      </c>
      <c r="H3" s="12" t="s">
        <v>75</v>
      </c>
      <c r="I3" s="12" t="s">
        <v>76</v>
      </c>
      <c r="J3" s="10" t="s">
        <v>93</v>
      </c>
      <c r="K3" s="12" t="s">
        <v>55</v>
      </c>
      <c r="L3" s="12" t="s">
        <v>87</v>
      </c>
      <c r="M3" s="12" t="s">
        <v>79</v>
      </c>
      <c r="N3" s="12" t="s">
        <v>88</v>
      </c>
      <c r="O3" s="12" t="s">
        <v>89</v>
      </c>
      <c r="P3" s="12" t="s">
        <v>82</v>
      </c>
      <c r="Q3" s="12" t="s">
        <v>90</v>
      </c>
      <c r="R3" s="12"/>
      <c r="S3" s="12"/>
      <c r="T3" s="12"/>
      <c r="U3" s="12" t="s">
        <v>91</v>
      </c>
      <c r="V3" s="12"/>
      <c r="W3" s="1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C8255-0EEE-4423-BFD7-EF6029BE1B7F}">
  <dimension ref="A1:L31"/>
  <sheetViews>
    <sheetView zoomScale="64" zoomScaleNormal="64" workbookViewId="0">
      <selection activeCell="U50" sqref="U50"/>
    </sheetView>
  </sheetViews>
  <sheetFormatPr defaultRowHeight="14.5" x14ac:dyDescent="0.35"/>
  <cols>
    <col min="1" max="1" width="11.81640625" customWidth="1"/>
    <col min="7" max="7" width="9.7265625" customWidth="1"/>
    <col min="9" max="9" width="9.26953125" customWidth="1"/>
    <col min="10" max="10" width="12.1796875" customWidth="1"/>
    <col min="11" max="11" width="29.7265625" customWidth="1"/>
    <col min="12" max="12" width="32.26953125" customWidth="1"/>
  </cols>
  <sheetData>
    <row r="1" spans="1:12" x14ac:dyDescent="0.35">
      <c r="A1" s="8" t="s">
        <v>62</v>
      </c>
      <c r="B1" s="8" t="s">
        <v>96</v>
      </c>
      <c r="C1" s="8" t="s">
        <v>97</v>
      </c>
      <c r="D1" s="8" t="s">
        <v>98</v>
      </c>
      <c r="E1" s="8" t="s">
        <v>99</v>
      </c>
      <c r="F1" s="8" t="s">
        <v>100</v>
      </c>
      <c r="G1" s="8" t="s">
        <v>101</v>
      </c>
      <c r="H1" s="8" t="s">
        <v>102</v>
      </c>
      <c r="I1" s="8" t="s">
        <v>103</v>
      </c>
      <c r="J1" s="8" t="s">
        <v>104</v>
      </c>
      <c r="K1" s="8" t="s">
        <v>17</v>
      </c>
      <c r="L1" s="8" t="s">
        <v>105</v>
      </c>
    </row>
    <row r="2" spans="1:12" x14ac:dyDescent="0.35">
      <c r="A2" s="13">
        <v>46336</v>
      </c>
      <c r="B2" s="6">
        <v>1</v>
      </c>
      <c r="C2" t="s">
        <v>106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t="s">
        <v>107</v>
      </c>
      <c r="L2" t="s">
        <v>108</v>
      </c>
    </row>
    <row r="3" spans="1:12" x14ac:dyDescent="0.35">
      <c r="A3" s="13">
        <v>46366</v>
      </c>
      <c r="B3" s="6">
        <v>2</v>
      </c>
      <c r="C3" t="s">
        <v>106</v>
      </c>
      <c r="D3" s="6">
        <v>0</v>
      </c>
      <c r="E3" s="6">
        <v>0</v>
      </c>
      <c r="F3" s="6">
        <v>0</v>
      </c>
      <c r="G3" s="6">
        <v>0</v>
      </c>
      <c r="H3" s="6">
        <v>0</v>
      </c>
      <c r="I3" s="6">
        <v>0</v>
      </c>
      <c r="J3" s="6">
        <v>0</v>
      </c>
      <c r="K3" t="s">
        <v>109</v>
      </c>
      <c r="L3" t="s">
        <v>110</v>
      </c>
    </row>
    <row r="4" spans="1:12" x14ac:dyDescent="0.35">
      <c r="A4" t="s">
        <v>111</v>
      </c>
      <c r="B4" s="6">
        <v>3</v>
      </c>
      <c r="C4" t="s">
        <v>106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t="s">
        <v>112</v>
      </c>
      <c r="L4" t="s">
        <v>113</v>
      </c>
    </row>
    <row r="5" spans="1:12" x14ac:dyDescent="0.35">
      <c r="A5" t="s">
        <v>114</v>
      </c>
      <c r="B5" s="6">
        <v>4</v>
      </c>
      <c r="C5" t="s">
        <v>106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t="s">
        <v>115</v>
      </c>
      <c r="L5" t="s">
        <v>116</v>
      </c>
    </row>
    <row r="6" spans="1:12" x14ac:dyDescent="0.35">
      <c r="A6" t="s">
        <v>117</v>
      </c>
      <c r="B6" s="6">
        <v>5</v>
      </c>
      <c r="C6" t="s">
        <v>106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t="s">
        <v>118</v>
      </c>
      <c r="L6" t="s">
        <v>119</v>
      </c>
    </row>
    <row r="7" spans="1:12" x14ac:dyDescent="0.35">
      <c r="A7" t="s">
        <v>120</v>
      </c>
      <c r="B7" s="6">
        <v>6</v>
      </c>
      <c r="C7" t="s">
        <v>106</v>
      </c>
      <c r="D7" s="6">
        <v>5</v>
      </c>
      <c r="E7" s="6">
        <v>5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t="s">
        <v>121</v>
      </c>
      <c r="L7" t="s">
        <v>122</v>
      </c>
    </row>
    <row r="8" spans="1:12" x14ac:dyDescent="0.35">
      <c r="A8" t="s">
        <v>123</v>
      </c>
      <c r="B8" s="6">
        <v>7</v>
      </c>
      <c r="C8" t="s">
        <v>106</v>
      </c>
      <c r="D8" s="6">
        <v>3</v>
      </c>
      <c r="E8" s="6">
        <v>3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t="s">
        <v>124</v>
      </c>
      <c r="L8" t="s">
        <v>125</v>
      </c>
    </row>
    <row r="9" spans="1:12" x14ac:dyDescent="0.35">
      <c r="A9" t="s">
        <v>126</v>
      </c>
      <c r="B9" s="6">
        <v>8</v>
      </c>
      <c r="C9" t="s">
        <v>106</v>
      </c>
      <c r="D9" s="6">
        <v>5</v>
      </c>
      <c r="E9" s="6">
        <v>4</v>
      </c>
      <c r="F9" s="6">
        <v>1</v>
      </c>
      <c r="G9" s="6">
        <v>0</v>
      </c>
      <c r="H9" s="6">
        <v>0</v>
      </c>
      <c r="I9" s="6">
        <v>1</v>
      </c>
      <c r="J9" s="6">
        <v>0</v>
      </c>
      <c r="K9" t="s">
        <v>127</v>
      </c>
      <c r="L9" t="s">
        <v>128</v>
      </c>
    </row>
    <row r="10" spans="1:12" x14ac:dyDescent="0.35">
      <c r="A10" t="s">
        <v>129</v>
      </c>
      <c r="B10" s="6">
        <v>9</v>
      </c>
      <c r="C10" t="s">
        <v>106</v>
      </c>
      <c r="D10" s="6">
        <v>5</v>
      </c>
      <c r="E10" s="6">
        <v>4</v>
      </c>
      <c r="F10" s="6">
        <v>1</v>
      </c>
      <c r="G10" s="6">
        <v>0</v>
      </c>
      <c r="H10" s="6">
        <v>0</v>
      </c>
      <c r="I10" s="6">
        <v>1</v>
      </c>
      <c r="J10" s="6">
        <v>1</v>
      </c>
      <c r="K10" t="s">
        <v>130</v>
      </c>
      <c r="L10" t="s">
        <v>131</v>
      </c>
    </row>
    <row r="11" spans="1:12" x14ac:dyDescent="0.35">
      <c r="A11" t="s">
        <v>132</v>
      </c>
      <c r="B11" s="6">
        <v>10</v>
      </c>
      <c r="C11" t="s">
        <v>106</v>
      </c>
      <c r="D11" s="6">
        <v>4</v>
      </c>
      <c r="E11" s="6">
        <v>3</v>
      </c>
      <c r="F11" s="6">
        <v>1</v>
      </c>
      <c r="G11" s="6">
        <v>0</v>
      </c>
      <c r="H11" s="6">
        <v>0</v>
      </c>
      <c r="I11" s="6">
        <v>1</v>
      </c>
      <c r="J11" s="6">
        <v>0</v>
      </c>
      <c r="K11" t="s">
        <v>133</v>
      </c>
      <c r="L11" t="s">
        <v>134</v>
      </c>
    </row>
    <row r="12" spans="1:12" x14ac:dyDescent="0.35">
      <c r="A12" t="s">
        <v>135</v>
      </c>
      <c r="B12" s="6">
        <v>11</v>
      </c>
      <c r="C12" t="s">
        <v>106</v>
      </c>
      <c r="D12" s="6">
        <v>6</v>
      </c>
      <c r="E12" s="6">
        <v>5</v>
      </c>
      <c r="F12" s="6">
        <v>1</v>
      </c>
      <c r="G12" s="6">
        <v>0</v>
      </c>
      <c r="H12" s="6">
        <v>0</v>
      </c>
      <c r="I12" s="6">
        <v>1</v>
      </c>
      <c r="J12" s="6">
        <v>0</v>
      </c>
      <c r="K12" t="s">
        <v>136</v>
      </c>
      <c r="L12" t="s">
        <v>137</v>
      </c>
    </row>
    <row r="13" spans="1:12" x14ac:dyDescent="0.35">
      <c r="A13" t="s">
        <v>138</v>
      </c>
      <c r="B13" s="6">
        <v>12</v>
      </c>
      <c r="C13" t="s">
        <v>106</v>
      </c>
      <c r="D13" s="6">
        <v>4</v>
      </c>
      <c r="E13" s="6">
        <v>4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t="s">
        <v>139</v>
      </c>
      <c r="L13" t="s">
        <v>140</v>
      </c>
    </row>
    <row r="14" spans="1:12" x14ac:dyDescent="0.35">
      <c r="A14" t="s">
        <v>141</v>
      </c>
      <c r="B14" s="6">
        <v>13</v>
      </c>
      <c r="C14" t="s">
        <v>106</v>
      </c>
      <c r="D14" s="6">
        <v>5</v>
      </c>
      <c r="E14" s="6">
        <v>5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t="s">
        <v>142</v>
      </c>
      <c r="L14" t="s">
        <v>143</v>
      </c>
    </row>
    <row r="15" spans="1:12" x14ac:dyDescent="0.35">
      <c r="A15" t="s">
        <v>144</v>
      </c>
      <c r="B15" s="6">
        <v>14</v>
      </c>
      <c r="C15" t="s">
        <v>106</v>
      </c>
      <c r="D15" s="6">
        <v>5</v>
      </c>
      <c r="E15" s="6">
        <v>4</v>
      </c>
      <c r="F15" s="6">
        <v>1</v>
      </c>
      <c r="G15" s="6">
        <v>0</v>
      </c>
      <c r="H15" s="6">
        <v>0</v>
      </c>
      <c r="I15" s="6">
        <v>1</v>
      </c>
      <c r="J15" s="6">
        <v>0</v>
      </c>
      <c r="K15" t="s">
        <v>145</v>
      </c>
      <c r="L15" t="s">
        <v>146</v>
      </c>
    </row>
    <row r="16" spans="1:12" x14ac:dyDescent="0.35">
      <c r="A16" t="s">
        <v>147</v>
      </c>
      <c r="B16" s="6">
        <v>15</v>
      </c>
      <c r="C16" t="s">
        <v>106</v>
      </c>
      <c r="D16" s="6">
        <v>5</v>
      </c>
      <c r="E16" s="6">
        <v>5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t="s">
        <v>148</v>
      </c>
      <c r="L16" t="s">
        <v>149</v>
      </c>
    </row>
    <row r="17" spans="1:12" x14ac:dyDescent="0.35">
      <c r="A17" t="s">
        <v>150</v>
      </c>
      <c r="B17" s="6">
        <v>16</v>
      </c>
      <c r="C17" t="s">
        <v>106</v>
      </c>
      <c r="D17" s="6">
        <v>5</v>
      </c>
      <c r="E17" s="6">
        <v>4</v>
      </c>
      <c r="F17" s="6">
        <v>1</v>
      </c>
      <c r="G17" s="6">
        <v>0</v>
      </c>
      <c r="H17" s="6">
        <v>0</v>
      </c>
      <c r="I17" s="6">
        <v>1</v>
      </c>
      <c r="J17" s="6">
        <v>0</v>
      </c>
      <c r="K17" t="s">
        <v>151</v>
      </c>
      <c r="L17" t="s">
        <v>152</v>
      </c>
    </row>
    <row r="18" spans="1:12" x14ac:dyDescent="0.35">
      <c r="A18" t="s">
        <v>153</v>
      </c>
      <c r="B18" s="6">
        <v>17</v>
      </c>
      <c r="C18" t="s">
        <v>106</v>
      </c>
      <c r="D18" s="6">
        <v>4</v>
      </c>
      <c r="E18" s="6">
        <v>4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t="s">
        <v>154</v>
      </c>
      <c r="L18" t="s">
        <v>155</v>
      </c>
    </row>
    <row r="19" spans="1:12" x14ac:dyDescent="0.35">
      <c r="A19" t="s">
        <v>156</v>
      </c>
      <c r="B19" s="6">
        <v>18</v>
      </c>
      <c r="C19" t="s">
        <v>106</v>
      </c>
      <c r="D19" s="6">
        <v>4</v>
      </c>
      <c r="E19" s="6">
        <v>4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t="s">
        <v>157</v>
      </c>
      <c r="L19" t="s">
        <v>158</v>
      </c>
    </row>
    <row r="20" spans="1:12" x14ac:dyDescent="0.35">
      <c r="A20" t="s">
        <v>159</v>
      </c>
      <c r="B20" s="6">
        <v>19</v>
      </c>
      <c r="C20" t="s">
        <v>106</v>
      </c>
      <c r="D20" s="6">
        <v>4</v>
      </c>
      <c r="E20" s="6">
        <v>4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t="s">
        <v>160</v>
      </c>
      <c r="L20" t="s">
        <v>161</v>
      </c>
    </row>
    <row r="21" spans="1:12" x14ac:dyDescent="0.35">
      <c r="A21" t="s">
        <v>162</v>
      </c>
      <c r="B21" s="6">
        <v>20</v>
      </c>
      <c r="C21" t="s">
        <v>106</v>
      </c>
      <c r="D21" s="6">
        <v>6</v>
      </c>
      <c r="E21" s="6">
        <v>5</v>
      </c>
      <c r="F21" s="6">
        <v>1</v>
      </c>
      <c r="G21" s="6">
        <v>0</v>
      </c>
      <c r="H21" s="6">
        <v>0</v>
      </c>
      <c r="I21" s="6">
        <v>1</v>
      </c>
      <c r="J21" s="6">
        <v>0</v>
      </c>
      <c r="K21" t="s">
        <v>163</v>
      </c>
      <c r="L21" t="s">
        <v>164</v>
      </c>
    </row>
    <row r="22" spans="1:12" x14ac:dyDescent="0.35">
      <c r="A22" t="s">
        <v>165</v>
      </c>
      <c r="B22" s="6">
        <v>21</v>
      </c>
      <c r="C22" t="s">
        <v>106</v>
      </c>
      <c r="D22" s="6">
        <v>4</v>
      </c>
      <c r="E22" s="6">
        <v>3</v>
      </c>
      <c r="F22" s="6">
        <v>0</v>
      </c>
      <c r="G22" s="6">
        <v>1</v>
      </c>
      <c r="H22" s="6">
        <v>0</v>
      </c>
      <c r="I22" s="6">
        <v>1</v>
      </c>
      <c r="J22" s="6">
        <v>0</v>
      </c>
      <c r="K22" t="s">
        <v>166</v>
      </c>
      <c r="L22" t="s">
        <v>167</v>
      </c>
    </row>
    <row r="23" spans="1:12" x14ac:dyDescent="0.35">
      <c r="A23" s="13">
        <v>46033</v>
      </c>
      <c r="B23" s="6">
        <v>22</v>
      </c>
      <c r="C23" t="s">
        <v>106</v>
      </c>
      <c r="D23" s="6">
        <v>4</v>
      </c>
      <c r="E23" s="6">
        <v>4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t="s">
        <v>168</v>
      </c>
      <c r="L23" t="s">
        <v>169</v>
      </c>
    </row>
    <row r="24" spans="1:12" x14ac:dyDescent="0.35">
      <c r="A24" s="13">
        <v>46064</v>
      </c>
      <c r="B24" s="6">
        <v>23</v>
      </c>
      <c r="C24" t="s">
        <v>106</v>
      </c>
      <c r="D24" s="6">
        <v>4</v>
      </c>
      <c r="E24" s="6">
        <v>4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t="s">
        <v>170</v>
      </c>
      <c r="L24" t="s">
        <v>171</v>
      </c>
    </row>
    <row r="25" spans="1:12" x14ac:dyDescent="0.35">
      <c r="A25" s="13">
        <v>46092</v>
      </c>
      <c r="B25" s="6">
        <v>24</v>
      </c>
      <c r="C25" t="s">
        <v>106</v>
      </c>
      <c r="D25" s="6">
        <v>5</v>
      </c>
      <c r="E25" s="6">
        <v>4</v>
      </c>
      <c r="F25" s="6">
        <v>0</v>
      </c>
      <c r="G25" s="6">
        <v>1</v>
      </c>
      <c r="H25" s="6">
        <v>0</v>
      </c>
      <c r="I25" s="6">
        <v>0</v>
      </c>
      <c r="J25" s="6">
        <v>0</v>
      </c>
      <c r="K25" t="s">
        <v>172</v>
      </c>
      <c r="L25" t="s">
        <v>173</v>
      </c>
    </row>
    <row r="26" spans="1:12" x14ac:dyDescent="0.35">
      <c r="A26" s="13">
        <v>46123</v>
      </c>
      <c r="B26" s="6">
        <v>25</v>
      </c>
      <c r="C26" t="s">
        <v>106</v>
      </c>
      <c r="D26" s="6">
        <v>4</v>
      </c>
      <c r="E26" s="6">
        <v>4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t="s">
        <v>174</v>
      </c>
      <c r="L26" t="s">
        <v>175</v>
      </c>
    </row>
    <row r="27" spans="1:12" x14ac:dyDescent="0.35">
      <c r="A27" s="13">
        <v>46153</v>
      </c>
      <c r="B27" s="6">
        <v>26</v>
      </c>
      <c r="C27" t="s">
        <v>106</v>
      </c>
      <c r="D27" s="6">
        <v>9</v>
      </c>
      <c r="E27" s="6">
        <v>7</v>
      </c>
      <c r="F27" s="6">
        <v>2</v>
      </c>
      <c r="G27" s="6">
        <v>0</v>
      </c>
      <c r="H27" s="6">
        <v>0</v>
      </c>
      <c r="I27" s="6">
        <v>2</v>
      </c>
      <c r="J27" s="6">
        <v>1</v>
      </c>
      <c r="K27" t="s">
        <v>176</v>
      </c>
      <c r="L27" t="s">
        <v>177</v>
      </c>
    </row>
    <row r="28" spans="1:12" x14ac:dyDescent="0.35">
      <c r="A28" s="13">
        <v>46184</v>
      </c>
      <c r="B28" s="6">
        <v>27</v>
      </c>
      <c r="C28" t="s">
        <v>106</v>
      </c>
      <c r="D28" s="6">
        <v>6</v>
      </c>
      <c r="E28" s="6">
        <v>6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t="s">
        <v>178</v>
      </c>
      <c r="L28" t="s">
        <v>179</v>
      </c>
    </row>
    <row r="29" spans="1:12" x14ac:dyDescent="0.35">
      <c r="A29" s="13">
        <v>46214</v>
      </c>
      <c r="B29" s="6">
        <v>28</v>
      </c>
      <c r="C29" t="s">
        <v>106</v>
      </c>
      <c r="D29" s="6">
        <v>4</v>
      </c>
      <c r="E29" s="6">
        <v>4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t="s">
        <v>180</v>
      </c>
      <c r="L29" t="s">
        <v>181</v>
      </c>
    </row>
    <row r="30" spans="1:12" x14ac:dyDescent="0.35">
      <c r="A30" s="13">
        <v>46245</v>
      </c>
      <c r="B30" s="6">
        <v>29</v>
      </c>
      <c r="C30" t="s">
        <v>106</v>
      </c>
      <c r="D30" s="6">
        <v>5</v>
      </c>
      <c r="E30" s="6">
        <v>5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t="s">
        <v>182</v>
      </c>
      <c r="L30" t="s">
        <v>183</v>
      </c>
    </row>
    <row r="31" spans="1:12" x14ac:dyDescent="0.35">
      <c r="A31" s="13">
        <v>46276</v>
      </c>
      <c r="B31" s="6">
        <v>30</v>
      </c>
      <c r="C31" t="s">
        <v>106</v>
      </c>
      <c r="D31" s="6">
        <v>6</v>
      </c>
      <c r="E31" s="6">
        <v>6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t="s">
        <v>184</v>
      </c>
      <c r="L31" t="s">
        <v>185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636D4-2B56-4AA6-9F40-79E1FF7345CF}">
  <dimension ref="A1:F13"/>
  <sheetViews>
    <sheetView zoomScale="75" zoomScaleNormal="75" workbookViewId="0">
      <selection activeCell="H10" sqref="H10"/>
    </sheetView>
  </sheetViews>
  <sheetFormatPr defaultRowHeight="14.5" x14ac:dyDescent="0.35"/>
  <cols>
    <col min="1" max="1" width="19.08984375" customWidth="1"/>
    <col min="2" max="2" width="10.453125" customWidth="1"/>
    <col min="3" max="3" width="6.81640625" customWidth="1"/>
    <col min="4" max="4" width="7.36328125" customWidth="1"/>
    <col min="5" max="5" width="10.6328125" customWidth="1"/>
    <col min="6" max="6" width="11.26953125" customWidth="1"/>
  </cols>
  <sheetData>
    <row r="1" spans="1:6" x14ac:dyDescent="0.35">
      <c r="A1" s="8" t="s">
        <v>2</v>
      </c>
      <c r="B1" s="8" t="s">
        <v>98</v>
      </c>
      <c r="C1" s="8" t="s">
        <v>99</v>
      </c>
      <c r="D1" s="8" t="s">
        <v>100</v>
      </c>
      <c r="E1" s="8" t="s">
        <v>101</v>
      </c>
      <c r="F1" s="8" t="s">
        <v>186</v>
      </c>
    </row>
    <row r="2" spans="1:6" x14ac:dyDescent="0.35">
      <c r="A2" t="s">
        <v>37</v>
      </c>
      <c r="B2" s="6">
        <f>COUNTIF(MASTER_TC!C:C,A2)</f>
        <v>11</v>
      </c>
      <c r="C2" s="6">
        <f>COUNTIFS(MASTER_TC!C:C,A2,MASTER_TC!K:K,"PASS")</f>
        <v>0</v>
      </c>
      <c r="D2" s="6">
        <f>COUNTIFS(MASTER_TC!C:C,A2,MASTER_TC!K:K,"FAIL")</f>
        <v>0</v>
      </c>
      <c r="E2" s="6">
        <f>COUNTIFS(MASTER_TC!C:C,A2,MASTER_TC!K:K,"BLOCKED")</f>
        <v>0</v>
      </c>
      <c r="F2" s="15">
        <f>IFERROR(C2/B2,0)</f>
        <v>0</v>
      </c>
    </row>
    <row r="3" spans="1:6" x14ac:dyDescent="0.35">
      <c r="A3" t="s">
        <v>187</v>
      </c>
      <c r="B3" s="6">
        <f>COUNTIF(MASTER_TC!C:C,A3)</f>
        <v>0</v>
      </c>
      <c r="C3" s="6">
        <f>COUNTIFS(MASTER_TC!C:C,A3,MASTER_TC!K:K,"PASS")</f>
        <v>0</v>
      </c>
      <c r="D3" s="6">
        <f>COUNTIFS(MASTER_TC!C:C,A3,MASTER_TC!K:K,"FAIL")</f>
        <v>0</v>
      </c>
      <c r="E3" s="6">
        <f>COUNTIFS(MASTER_TC!C:C,A3,MASTER_TC!K:K,"BLOCKED")</f>
        <v>0</v>
      </c>
      <c r="F3" s="6">
        <f>IF(B3=0,0,C3/B3)</f>
        <v>0</v>
      </c>
    </row>
    <row r="4" spans="1:6" x14ac:dyDescent="0.35">
      <c r="A4" t="s">
        <v>188</v>
      </c>
      <c r="B4" s="6">
        <f>COUNTIF(MASTER_TC!C:C,A4)</f>
        <v>0</v>
      </c>
      <c r="C4" s="6">
        <f>COUNTIFS(MASTER_TC!C:C,A4,MASTER_TC!K:K,"PASS")</f>
        <v>0</v>
      </c>
      <c r="D4" s="6">
        <f>COUNTIFS(MASTER_TC!C:C,A4,MASTER_TC!K:K,"FAIL")</f>
        <v>0</v>
      </c>
      <c r="E4" s="6">
        <f>COUNTIFS(MASTER_TC!C:C,A4,MASTER_TC!K:K,"BLOCKED")</f>
        <v>0</v>
      </c>
      <c r="F4" s="6">
        <f>IF(B4=0,0,C4/B4)</f>
        <v>0</v>
      </c>
    </row>
    <row r="5" spans="1:6" x14ac:dyDescent="0.35">
      <c r="A5" t="s">
        <v>189</v>
      </c>
      <c r="B5" s="6">
        <f>COUNTIF(MASTER_TC!C:C,A5)</f>
        <v>0</v>
      </c>
      <c r="C5" s="6">
        <f>COUNTIFS(MASTER_TC!C:C,A5,MASTER_TC!K:K,"PASS")</f>
        <v>0</v>
      </c>
      <c r="D5" s="6">
        <f>COUNTIFS(MASTER_TC!C:C,A5,MASTER_TC!K:K,"FAIL")</f>
        <v>0</v>
      </c>
      <c r="E5" s="6">
        <f>COUNTIFS(MASTER_TC!C:C,A5,MASTER_TC!K:K,"BLOCKED")</f>
        <v>0</v>
      </c>
      <c r="F5" s="6">
        <f>IF(B5=0,0,C5/B5)</f>
        <v>0</v>
      </c>
    </row>
    <row r="6" spans="1:6" x14ac:dyDescent="0.35">
      <c r="A6" t="s">
        <v>190</v>
      </c>
      <c r="B6" s="6">
        <f>COUNTIF(MASTER_TC!C:C,A6)</f>
        <v>0</v>
      </c>
      <c r="C6" s="6">
        <f>COUNTIFS(MASTER_TC!C:C,A6,MASTER_TC!K:K,"PASS")</f>
        <v>0</v>
      </c>
      <c r="D6" s="6">
        <f>COUNTIFS(MASTER_TC!C:C,A6,MASTER_TC!K:K,"FAIL")</f>
        <v>0</v>
      </c>
      <c r="E6" s="6">
        <f>COUNTIFS(MASTER_TC!C:C,A6,MASTER_TC!K:K,"BLOCKED")</f>
        <v>0</v>
      </c>
      <c r="F6" s="6">
        <f>IF(B6=0,0,C6/B6)</f>
        <v>0</v>
      </c>
    </row>
    <row r="7" spans="1:6" x14ac:dyDescent="0.35">
      <c r="A7" t="s">
        <v>191</v>
      </c>
      <c r="B7" s="6">
        <f>COUNTIF(MASTER_TC!C:C,A7)</f>
        <v>0</v>
      </c>
      <c r="C7" s="6">
        <f>COUNTIFS(MASTER_TC!C:C,A7,MASTER_TC!K:K,"PASS")</f>
        <v>0</v>
      </c>
      <c r="D7" s="6">
        <f>COUNTIFS(MASTER_TC!C:C,A7,MASTER_TC!K:K,"FAIL")</f>
        <v>0</v>
      </c>
      <c r="E7" s="6">
        <f>COUNTIFS(MASTER_TC!C:C,A7,MASTER_TC!K:K,"BLOCKED")</f>
        <v>0</v>
      </c>
      <c r="F7" s="6">
        <f>IF(B7=0,0,C7/B7)</f>
        <v>0</v>
      </c>
    </row>
    <row r="8" spans="1:6" x14ac:dyDescent="0.35">
      <c r="A8" t="s">
        <v>192</v>
      </c>
      <c r="B8" s="6">
        <f>COUNTIF(MASTER_TC!C:C,A8)</f>
        <v>5</v>
      </c>
      <c r="C8" s="6">
        <f>COUNTIFS(MASTER_TC!C:C,A8,MASTER_TC!K:K,"PASS")</f>
        <v>5</v>
      </c>
      <c r="D8" s="6">
        <f>COUNTIFS(MASTER_TC!C:C,A8,MASTER_TC!K:K,"FAIL")</f>
        <v>0</v>
      </c>
      <c r="E8" s="6">
        <f>COUNTIFS(MASTER_TC!C:C,A8,MASTER_TC!K:K,"BLOCKED")</f>
        <v>0</v>
      </c>
      <c r="F8" s="6">
        <f>IF(B8=0,0,C8/B8)</f>
        <v>1</v>
      </c>
    </row>
    <row r="9" spans="1:6" x14ac:dyDescent="0.35">
      <c r="A9" t="s">
        <v>193</v>
      </c>
      <c r="B9" s="6">
        <f>COUNTIF(MASTER_TC!C:C,A9)</f>
        <v>0</v>
      </c>
      <c r="C9" s="6">
        <f>COUNTIFS(MASTER_TC!C:C,A9,MASTER_TC!K:K,"PASS")</f>
        <v>0</v>
      </c>
      <c r="D9" s="6">
        <f>COUNTIFS(MASTER_TC!C:C,A9,MASTER_TC!K:K,"FAIL")</f>
        <v>0</v>
      </c>
      <c r="E9" s="6">
        <f>COUNTIFS(MASTER_TC!C:C,A9,MASTER_TC!K:K,"BLOCKED")</f>
        <v>0</v>
      </c>
      <c r="F9" s="6">
        <f>IF(B9=0,0,C9/B9)</f>
        <v>0</v>
      </c>
    </row>
    <row r="10" spans="1:6" x14ac:dyDescent="0.35">
      <c r="A10" t="s">
        <v>194</v>
      </c>
      <c r="B10" s="6">
        <f>COUNTIF(MASTER_TC!C:C,A10)</f>
        <v>0</v>
      </c>
      <c r="C10" s="6">
        <f>COUNTIFS(MASTER_TC!C:C,A10,MASTER_TC!K:K,"PASS")</f>
        <v>0</v>
      </c>
      <c r="D10" s="6">
        <f>COUNTIFS(MASTER_TC!C:C,A10,MASTER_TC!K:K,"FAIL")</f>
        <v>0</v>
      </c>
      <c r="E10" s="6">
        <f>COUNTIFS(MASTER_TC!C:C,A10,MASTER_TC!K:K,"BLOCKED")</f>
        <v>0</v>
      </c>
      <c r="F10" s="6">
        <f>IF(B10=0,0,C10/B10)</f>
        <v>0</v>
      </c>
    </row>
    <row r="11" spans="1:6" x14ac:dyDescent="0.35">
      <c r="A11" t="s">
        <v>195</v>
      </c>
      <c r="B11" s="6">
        <f>COUNTIF(MASTER_TC!C:C,A11)</f>
        <v>0</v>
      </c>
      <c r="C11" s="6">
        <f>COUNTIFS(MASTER_TC!C:C,A11,MASTER_TC!K:K,"PASS")</f>
        <v>0</v>
      </c>
      <c r="D11" s="6">
        <f>COUNTIFS(MASTER_TC!C:C,A11,MASTER_TC!K:K,"FAIL")</f>
        <v>0</v>
      </c>
      <c r="E11" s="6">
        <f>COUNTIFS(MASTER_TC!C:C,A11,MASTER_TC!K:K,"BLOCKED")</f>
        <v>0</v>
      </c>
      <c r="F11" s="6">
        <f>IF(B11=0,0,C11/B11)</f>
        <v>0</v>
      </c>
    </row>
    <row r="12" spans="1:6" x14ac:dyDescent="0.35">
      <c r="A12" t="s">
        <v>174</v>
      </c>
      <c r="B12" s="6">
        <f>COUNTIF(MASTER_TC!C:C,A12)</f>
        <v>0</v>
      </c>
      <c r="C12" s="6">
        <f>COUNTIFS(MASTER_TC!C:C,A12,MASTER_TC!K:K,"PASS")</f>
        <v>0</v>
      </c>
      <c r="D12" s="6">
        <f>COUNTIFS(MASTER_TC!C:C,A12,MASTER_TC!K:K,"FAIL")</f>
        <v>0</v>
      </c>
      <c r="E12" s="6">
        <f>COUNTIFS(MASTER_TC!C:C,A12,MASTER_TC!K:K,"BLOCKED")</f>
        <v>0</v>
      </c>
      <c r="F12" s="6">
        <f>IF(B12=0,0,C12/B12)</f>
        <v>0</v>
      </c>
    </row>
    <row r="13" spans="1:6" x14ac:dyDescent="0.35">
      <c r="A13" t="s">
        <v>196</v>
      </c>
      <c r="B13" s="6">
        <f>COUNTIF(MASTER_TC!C:C,A13)</f>
        <v>0</v>
      </c>
      <c r="C13" s="6">
        <f>COUNTIFS(MASTER_TC!C:C,A13,MASTER_TC!K:K,"PASS")</f>
        <v>0</v>
      </c>
      <c r="D13" s="6">
        <f>COUNTIFS(MASTER_TC!C:C,A13,MASTER_TC!K:K,"FAIL")</f>
        <v>0</v>
      </c>
      <c r="E13" s="6">
        <f>COUNTIFS(MASTER_TC!C:C,A13,MASTER_TC!K:K,"BLOCKED")</f>
        <v>0</v>
      </c>
      <c r="F13" s="6">
        <f>IF(B13=0,0,C13/B13)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MASTER_TC</vt:lpstr>
      <vt:lpstr>BUG_REPORTS</vt:lpstr>
      <vt:lpstr>EXECUTION_LOG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ThinkPad</cp:lastModifiedBy>
  <dcterms:created xsi:type="dcterms:W3CDTF">2026-10-10T04:43:05Z</dcterms:created>
  <dcterms:modified xsi:type="dcterms:W3CDTF">2026-10-12T15:51:49Z</dcterms:modified>
</cp:coreProperties>
</file>